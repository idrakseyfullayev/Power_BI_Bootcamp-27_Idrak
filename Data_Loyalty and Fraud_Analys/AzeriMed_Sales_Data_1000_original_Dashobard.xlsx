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1.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6.xml" ContentType="application/vnd.ms-office.chartstyle+xml"/>
  <Override PartName="/xl/charts/colors6.xml" ContentType="application/vnd.ms-office.chartcolorstyle+xml"/>
  <Override PartName="/xl/charts/chart3.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dell\Desktop\Data_Loyalty and Fraud_Analys\"/>
    </mc:Choice>
  </mc:AlternateContent>
  <xr:revisionPtr revIDLastSave="0" documentId="13_ncr:1_{84C41A3B-6382-453B-A32B-38EEF2783FF3}" xr6:coauthVersionLast="45" xr6:coauthVersionMax="45" xr10:uidLastSave="{00000000-0000-0000-0000-000000000000}"/>
  <bookViews>
    <workbookView xWindow="-120" yWindow="-120" windowWidth="20730" windowHeight="11160" activeTab="1" xr2:uid="{00000000-000D-0000-FFFF-FFFF00000000}"/>
  </bookViews>
  <sheets>
    <sheet name="AzeriMed_Sales_Data_1000_origin" sheetId="1" r:id="rId1"/>
    <sheet name="Pivot Table Loyalty" sheetId="3" r:id="rId2"/>
    <sheet name=" Dashboard Loyalty" sheetId="4" r:id="rId3"/>
    <sheet name="Dashboard KPİ" sheetId="8" r:id="rId4"/>
    <sheet name="Pivot Table Amount" sheetId="7" r:id="rId5"/>
    <sheet name="Dashbard Amount" sheetId="6" r:id="rId6"/>
  </sheets>
  <definedNames>
    <definedName name="_xlnm._FilterDatabase" localSheetId="0" hidden="1">AzeriMed_Sales_Data_1000_origin!$M$1:$P$1</definedName>
    <definedName name="_xlchart.v1.6" hidden="1">'Pivot Table Loyalty'!$K$6:$K$29</definedName>
    <definedName name="_xlchart.v1.7" hidden="1">'Pivot Table Loyalty'!$L$5</definedName>
    <definedName name="_xlchart.v1.8" hidden="1">'Pivot Table Loyalty'!$L$6:$L$29</definedName>
    <definedName name="_xlchart.v2.0" hidden="1">'Pivot Table Loyalty'!$C$2</definedName>
    <definedName name="_xlchart.v2.1" hidden="1">'Pivot Table Loyalty'!$C$3</definedName>
    <definedName name="_xlchart.v2.2" hidden="1">'Pivot Table Loyalty'!$C$6</definedName>
    <definedName name="_xlchart.v2.3" hidden="1">'Pivot Table Loyalty'!$C$7</definedName>
    <definedName name="_xlchart.v2.4" hidden="1">'Pivot Table Loyalty'!$C$15</definedName>
    <definedName name="_xlchart.v2.5" hidden="1">'Pivot Table Loyalty'!$C$16</definedName>
    <definedName name="_xlcn.WorksheetConnection_AzeriMed_Sales_Data_1000_original_Dashobard.xlsxData1" hidden="1">Data[]</definedName>
    <definedName name="Slicer_Region">#N/A</definedName>
    <definedName name="Timeline_OrderDate">#N/A</definedName>
  </definedNames>
  <calcPr calcId="191029"/>
  <pivotCaches>
    <pivotCache cacheId="193" r:id="rId7"/>
    <pivotCache cacheId="196" r:id="rId8"/>
    <pivotCache cacheId="208" r:id="rId9"/>
    <pivotCache cacheId="211" r:id="rId10"/>
    <pivotCache cacheId="214"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02"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FCE2AD5D-F65C-4FA6-A056-5C36A1767C68}">
      <x15:dataModel>
        <x15:modelTables>
          <x15:modelTable id="Data" name="Data" connection="WorksheetConnection_AzeriMed_Sales_Data_1000_original_Dashobard.xlsx!Data"/>
        </x15:modelTables>
        <x15:extLst>
          <ext xmlns:x16="http://schemas.microsoft.com/office/spreadsheetml/2014/11/main" uri="{9835A34E-60A6-4A7C-AAB8-D5F71C897F49}">
            <x16:modelTimeGroupings>
              <x16:modelTimeGrouping tableName="Data" columnName="OrderDate" columnId="OrderDate">
                <x16:calculatedTimeColumn columnName="OrderDate (Year)" columnId="OrderDate (Year)" contentType="yea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J66" i="3" l="1"/>
  <c r="H66" i="3"/>
  <c r="I66" i="3"/>
  <c r="L35" i="3"/>
  <c r="K59" i="3"/>
  <c r="K58" i="3"/>
  <c r="K57" i="3"/>
  <c r="K56" i="3"/>
  <c r="K55" i="3"/>
  <c r="K54" i="3"/>
  <c r="K53" i="3"/>
  <c r="K52" i="3"/>
  <c r="K51" i="3"/>
  <c r="K50" i="3"/>
  <c r="K49" i="3"/>
  <c r="K47" i="3"/>
  <c r="K46" i="3"/>
  <c r="K45" i="3"/>
  <c r="K44" i="3"/>
  <c r="K43" i="3"/>
  <c r="K42" i="3"/>
  <c r="K41" i="3"/>
  <c r="K40" i="3"/>
  <c r="K39" i="3"/>
  <c r="K38" i="3"/>
  <c r="K37" i="3"/>
  <c r="K36" i="3"/>
  <c r="H57" i="3"/>
  <c r="I57" i="3" s="1"/>
  <c r="L58" i="3" s="1"/>
  <c r="J89" i="3" s="1"/>
  <c r="H58" i="3"/>
  <c r="I58" i="3" s="1"/>
  <c r="L59" i="3" s="1"/>
  <c r="J90" i="3" s="1"/>
  <c r="H50" i="3"/>
  <c r="I50" i="3" s="1"/>
  <c r="L51" i="3" s="1"/>
  <c r="J82" i="3" s="1"/>
  <c r="H51" i="3"/>
  <c r="I51" i="3" s="1"/>
  <c r="L52" i="3" s="1"/>
  <c r="J83" i="3" s="1"/>
  <c r="H52" i="3"/>
  <c r="I52" i="3" s="1"/>
  <c r="L53" i="3" s="1"/>
  <c r="J84" i="3" s="1"/>
  <c r="H53" i="3"/>
  <c r="I53" i="3" s="1"/>
  <c r="L54" i="3" s="1"/>
  <c r="J85" i="3" s="1"/>
  <c r="H54" i="3"/>
  <c r="I54" i="3" s="1"/>
  <c r="L55" i="3" s="1"/>
  <c r="J86" i="3" s="1"/>
  <c r="H55" i="3"/>
  <c r="I55" i="3" s="1"/>
  <c r="L56" i="3" s="1"/>
  <c r="J87" i="3" s="1"/>
  <c r="H56" i="3"/>
  <c r="I56" i="3" s="1"/>
  <c r="L57" i="3" s="1"/>
  <c r="J88" i="3" s="1"/>
  <c r="K20" i="3"/>
  <c r="H81" i="3" s="1"/>
  <c r="K21" i="3"/>
  <c r="H82" i="3" s="1"/>
  <c r="K22" i="3"/>
  <c r="H83" i="3" s="1"/>
  <c r="K23" i="3"/>
  <c r="H84" i="3" s="1"/>
  <c r="K24" i="3"/>
  <c r="H85" i="3" s="1"/>
  <c r="K25" i="3"/>
  <c r="H86" i="3" s="1"/>
  <c r="K26" i="3"/>
  <c r="H87" i="3" s="1"/>
  <c r="K27" i="3"/>
  <c r="H88" i="3" s="1"/>
  <c r="K28" i="3"/>
  <c r="H89" i="3" s="1"/>
  <c r="K29" i="3"/>
  <c r="H90" i="3" s="1"/>
  <c r="K19" i="3"/>
  <c r="H80" i="3" s="1"/>
  <c r="K7" i="3"/>
  <c r="H68" i="3" s="1"/>
  <c r="K8" i="3"/>
  <c r="H69" i="3" s="1"/>
  <c r="K9" i="3"/>
  <c r="H70" i="3" s="1"/>
  <c r="K10" i="3"/>
  <c r="H71" i="3" s="1"/>
  <c r="K11" i="3"/>
  <c r="H72" i="3" s="1"/>
  <c r="K12" i="3"/>
  <c r="H73" i="3" s="1"/>
  <c r="K13" i="3"/>
  <c r="H74" i="3" s="1"/>
  <c r="K14" i="3"/>
  <c r="H75" i="3" s="1"/>
  <c r="K15" i="3"/>
  <c r="H76" i="3" s="1"/>
  <c r="K16" i="3"/>
  <c r="H77" i="3" s="1"/>
  <c r="K17" i="3"/>
  <c r="H78" i="3" s="1"/>
  <c r="K6" i="3"/>
  <c r="H67" i="3" s="1"/>
  <c r="G6" i="3"/>
  <c r="H6" i="3" s="1"/>
  <c r="I6" i="3" s="1"/>
  <c r="L7" i="3" s="1"/>
  <c r="I68" i="3" s="1"/>
  <c r="G7" i="3"/>
  <c r="H7" i="3" s="1"/>
  <c r="I7" i="3" s="1"/>
  <c r="L8" i="3" s="1"/>
  <c r="I69" i="3" s="1"/>
  <c r="G8" i="3"/>
  <c r="H8" i="3" s="1"/>
  <c r="I8" i="3" s="1"/>
  <c r="L9" i="3" s="1"/>
  <c r="I70" i="3" s="1"/>
  <c r="G9" i="3"/>
  <c r="H9" i="3" s="1"/>
  <c r="I9" i="3" s="1"/>
  <c r="L10" i="3" s="1"/>
  <c r="I71" i="3" s="1"/>
  <c r="G10" i="3"/>
  <c r="H10" i="3" s="1"/>
  <c r="I10" i="3" s="1"/>
  <c r="L11" i="3" s="1"/>
  <c r="I72" i="3" s="1"/>
  <c r="G11" i="3"/>
  <c r="H11" i="3" s="1"/>
  <c r="I11" i="3" s="1"/>
  <c r="L12" i="3" s="1"/>
  <c r="I73" i="3" s="1"/>
  <c r="G12" i="3"/>
  <c r="H12" i="3" s="1"/>
  <c r="I12" i="3" s="1"/>
  <c r="L13" i="3" s="1"/>
  <c r="I74" i="3" s="1"/>
  <c r="G13" i="3"/>
  <c r="H13" i="3" s="1"/>
  <c r="I13" i="3" s="1"/>
  <c r="L14" i="3" s="1"/>
  <c r="I75" i="3" s="1"/>
  <c r="G14" i="3"/>
  <c r="H14" i="3" s="1"/>
  <c r="I14" i="3" s="1"/>
  <c r="L15" i="3" s="1"/>
  <c r="I76" i="3" s="1"/>
  <c r="G15" i="3"/>
  <c r="H15" i="3" s="1"/>
  <c r="I15" i="3" s="1"/>
  <c r="L16" i="3" s="1"/>
  <c r="I77" i="3" s="1"/>
  <c r="G16" i="3"/>
  <c r="H16" i="3" s="1"/>
  <c r="I16" i="3" s="1"/>
  <c r="L17" i="3" s="1"/>
  <c r="I78" i="3" s="1"/>
  <c r="G19" i="3"/>
  <c r="H19" i="3" s="1"/>
  <c r="I19" i="3" s="1"/>
  <c r="L20" i="3" s="1"/>
  <c r="I81" i="3" s="1"/>
  <c r="G20" i="3"/>
  <c r="H20" i="3" s="1"/>
  <c r="I20" i="3" s="1"/>
  <c r="L21" i="3" s="1"/>
  <c r="I82" i="3" s="1"/>
  <c r="G21" i="3"/>
  <c r="H21" i="3" s="1"/>
  <c r="I21" i="3" s="1"/>
  <c r="L22" i="3" s="1"/>
  <c r="I83" i="3" s="1"/>
  <c r="G22" i="3"/>
  <c r="H22" i="3" s="1"/>
  <c r="I22" i="3" s="1"/>
  <c r="L23" i="3" s="1"/>
  <c r="I84" i="3" s="1"/>
  <c r="G23" i="3"/>
  <c r="H23" i="3" s="1"/>
  <c r="I23" i="3" s="1"/>
  <c r="L24" i="3" s="1"/>
  <c r="I85" i="3" s="1"/>
  <c r="G24" i="3"/>
  <c r="H24" i="3" s="1"/>
  <c r="I24" i="3" s="1"/>
  <c r="L25" i="3" s="1"/>
  <c r="I86" i="3" s="1"/>
  <c r="G25" i="3"/>
  <c r="H25" i="3" s="1"/>
  <c r="I25" i="3" s="1"/>
  <c r="L26" i="3" s="1"/>
  <c r="I87" i="3" s="1"/>
  <c r="G26" i="3"/>
  <c r="H26" i="3" s="1"/>
  <c r="I26" i="3" s="1"/>
  <c r="L27" i="3" s="1"/>
  <c r="I88" i="3" s="1"/>
  <c r="G27" i="3"/>
  <c r="H27" i="3" s="1"/>
  <c r="I27" i="3" s="1"/>
  <c r="L28" i="3" s="1"/>
  <c r="I89" i="3" s="1"/>
  <c r="G28" i="3"/>
  <c r="H28" i="3" s="1"/>
  <c r="I28" i="3" s="1"/>
  <c r="L29" i="3" s="1"/>
  <c r="I90" i="3" s="1"/>
  <c r="C15" i="3"/>
  <c r="C6" i="3"/>
  <c r="C2" i="3"/>
  <c r="C3" i="3"/>
  <c r="AK8" i="4" l="1"/>
  <c r="AK9" i="4"/>
  <c r="P177" i="1"/>
  <c r="P85" i="1"/>
  <c r="P243" i="1"/>
  <c r="P332" i="1"/>
  <c r="P461" i="1"/>
  <c r="P185" i="1"/>
  <c r="P101" i="1"/>
  <c r="P351" i="1"/>
  <c r="P176" i="1"/>
  <c r="P197" i="1"/>
  <c r="P108" i="1"/>
  <c r="P128" i="1"/>
  <c r="P303" i="1"/>
  <c r="P567" i="1"/>
  <c r="P18" i="1"/>
  <c r="P151" i="1"/>
  <c r="P53" i="1"/>
  <c r="P78" i="1"/>
  <c r="P158" i="1"/>
  <c r="P481" i="1"/>
  <c r="P285" i="1"/>
  <c r="P203" i="1"/>
  <c r="P341" i="1"/>
  <c r="P126" i="1"/>
  <c r="P228" i="1"/>
  <c r="P591" i="1"/>
  <c r="P49" i="1"/>
  <c r="P193" i="1"/>
  <c r="P301" i="1"/>
  <c r="P11" i="1"/>
  <c r="P93" i="1"/>
  <c r="P64" i="1"/>
  <c r="P220" i="1"/>
  <c r="P503" i="1"/>
  <c r="P6" i="1"/>
  <c r="P198" i="1"/>
  <c r="P269" i="1"/>
  <c r="P221" i="1"/>
  <c r="P102" i="1"/>
  <c r="P369" i="1"/>
  <c r="P45" i="1"/>
  <c r="P37" i="1"/>
  <c r="P156" i="1"/>
  <c r="P147" i="1"/>
  <c r="P364" i="1"/>
  <c r="P216" i="1"/>
  <c r="P9" i="1"/>
  <c r="P3" i="1"/>
  <c r="P348" i="1"/>
  <c r="P72" i="1"/>
  <c r="P162" i="1"/>
  <c r="P427" i="1"/>
  <c r="P602" i="1"/>
  <c r="P557" i="1"/>
  <c r="P117" i="1"/>
  <c r="P289" i="1"/>
  <c r="P317" i="1"/>
  <c r="P428" i="1"/>
  <c r="P488" i="1"/>
  <c r="P79" i="1"/>
  <c r="P305" i="1"/>
  <c r="P90" i="1"/>
  <c r="P164" i="1"/>
  <c r="P483" i="1"/>
  <c r="P559" i="1"/>
  <c r="P423" i="1"/>
  <c r="P353" i="1"/>
  <c r="P10" i="1"/>
  <c r="P121" i="1"/>
  <c r="P178" i="1"/>
  <c r="P358" i="1"/>
  <c r="P191" i="1"/>
  <c r="P382" i="1"/>
  <c r="P449" i="1"/>
  <c r="P246" i="1"/>
  <c r="P553" i="1"/>
  <c r="P5" i="1"/>
  <c r="P91" i="1"/>
  <c r="P71" i="1"/>
  <c r="P362" i="1"/>
  <c r="P206" i="1"/>
  <c r="P92" i="1"/>
  <c r="P421" i="1"/>
  <c r="P140" i="1"/>
  <c r="P410" i="1"/>
  <c r="P23" i="1"/>
  <c r="P249" i="1"/>
  <c r="P378" i="1"/>
  <c r="P74" i="1"/>
  <c r="P114" i="1"/>
  <c r="P170" i="1"/>
  <c r="P499" i="1"/>
  <c r="P137" i="1"/>
  <c r="P12" i="1"/>
  <c r="P436" i="1"/>
  <c r="P250" i="1"/>
  <c r="P52" i="1"/>
  <c r="P456" i="1"/>
  <c r="P375" i="1"/>
  <c r="P30" i="1"/>
  <c r="P95" i="1"/>
  <c r="P96" i="1"/>
  <c r="P531" i="1"/>
  <c r="P138" i="1"/>
  <c r="P584" i="1"/>
  <c r="P457" i="1"/>
  <c r="P381" i="1"/>
  <c r="P109" i="1"/>
  <c r="P61" i="1"/>
  <c r="P111" i="1"/>
  <c r="P233" i="1"/>
  <c r="P312" i="1"/>
  <c r="P48" i="1"/>
  <c r="P208" i="1"/>
  <c r="P347" i="1"/>
  <c r="P29" i="1"/>
  <c r="P377" i="1"/>
  <c r="P146" i="1"/>
  <c r="P411" i="1"/>
  <c r="P183" i="1"/>
  <c r="P227" i="1"/>
  <c r="P435" i="1"/>
  <c r="P486" i="1"/>
  <c r="P439" i="1"/>
  <c r="P211" i="1"/>
  <c r="P438" i="1"/>
  <c r="P199" i="1"/>
  <c r="P112" i="1"/>
  <c r="P223" i="1"/>
  <c r="P467" i="1"/>
  <c r="P371" i="1"/>
  <c r="P110" i="1"/>
  <c r="P404" i="1"/>
  <c r="P143" i="1"/>
  <c r="P222" i="1"/>
  <c r="P441" i="1"/>
  <c r="P115" i="1"/>
  <c r="P391" i="1"/>
  <c r="P400" i="1"/>
  <c r="P566" i="1"/>
  <c r="P22" i="1"/>
  <c r="P240" i="1"/>
  <c r="P343" i="1"/>
  <c r="P84" i="1"/>
  <c r="P529" i="1"/>
  <c r="P132" i="1"/>
  <c r="P589" i="1"/>
  <c r="P447" i="1"/>
  <c r="P384" i="1"/>
  <c r="P238" i="1"/>
  <c r="P161" i="1"/>
  <c r="P281" i="1"/>
  <c r="P330" i="1"/>
  <c r="P613" i="1"/>
  <c r="P2" i="1"/>
  <c r="P13" i="1"/>
  <c r="P515" i="1"/>
  <c r="P413" i="1"/>
  <c r="P89" i="1"/>
  <c r="P407" i="1"/>
  <c r="P215" i="1"/>
  <c r="P82" i="1"/>
  <c r="P314" i="1"/>
  <c r="P134" i="1"/>
  <c r="P500" i="1"/>
  <c r="P87" i="1"/>
  <c r="P459" i="1"/>
  <c r="P70" i="1"/>
  <c r="P514" i="1"/>
  <c r="P129" i="1"/>
  <c r="P4" i="1"/>
  <c r="P470" i="1"/>
  <c r="P130" i="1"/>
  <c r="P252" i="1"/>
  <c r="P46" i="1"/>
  <c r="P153" i="1"/>
  <c r="P149" i="1"/>
  <c r="P76" i="1"/>
  <c r="P106" i="1"/>
  <c r="P376" i="1"/>
  <c r="P204" i="1"/>
  <c r="P62" i="1"/>
  <c r="P20" i="1"/>
  <c r="P386" i="1"/>
  <c r="P120" i="1"/>
  <c r="P168" i="1"/>
  <c r="P298" i="1"/>
  <c r="P587" i="1"/>
  <c r="P144" i="1"/>
  <c r="P288" i="1"/>
  <c r="P55" i="1"/>
  <c r="P17" i="1"/>
  <c r="P445" i="1"/>
  <c r="P47" i="1"/>
  <c r="P51" i="1"/>
  <c r="P493" i="1"/>
  <c r="P469" i="1"/>
  <c r="P118" i="1"/>
  <c r="P489" i="1"/>
  <c r="P131" i="1"/>
  <c r="P21" i="1"/>
  <c r="P63" i="1"/>
  <c r="P292" i="1"/>
  <c r="P226" i="1"/>
  <c r="P160" i="1"/>
  <c r="P26" i="1"/>
  <c r="P57" i="1"/>
  <c r="P244" i="1"/>
  <c r="P209" i="1"/>
  <c r="P582" i="1"/>
  <c r="P530" i="1"/>
  <c r="P187" i="1"/>
  <c r="P346" i="1"/>
  <c r="P214" i="1"/>
  <c r="P462" i="1"/>
  <c r="P264" i="1"/>
  <c r="P322" i="1"/>
  <c r="P414" i="1"/>
  <c r="P257" i="1"/>
  <c r="P448" i="1"/>
  <c r="P195" i="1"/>
  <c r="P538" i="1"/>
  <c r="P429" i="1"/>
  <c r="P541" i="1"/>
  <c r="P259" i="1"/>
  <c r="P94" i="1"/>
  <c r="P28" i="1"/>
  <c r="P116" i="1"/>
  <c r="P36" i="1"/>
  <c r="P56" i="1"/>
  <c r="P192" i="1"/>
  <c r="P86" i="1"/>
  <c r="P27" i="1"/>
  <c r="P42" i="1"/>
  <c r="P412" i="1"/>
  <c r="P73" i="1"/>
  <c r="P405" i="1"/>
  <c r="P273" i="1"/>
  <c r="P263" i="1"/>
  <c r="P16" i="1"/>
  <c r="P580" i="1"/>
  <c r="P608" i="1"/>
  <c r="P25" i="1"/>
  <c r="P135" i="1"/>
  <c r="P14" i="1"/>
  <c r="P552" i="1"/>
  <c r="P497" i="1"/>
  <c r="P141" i="1"/>
  <c r="P239" i="1"/>
  <c r="P339" i="1"/>
  <c r="P54" i="1"/>
  <c r="P287" i="1"/>
  <c r="P565" i="1"/>
  <c r="P104" i="1"/>
  <c r="P520" i="1"/>
  <c r="P119" i="1"/>
  <c r="P402" i="1"/>
  <c r="P75" i="1"/>
  <c r="P549" i="1"/>
  <c r="P495" i="1"/>
  <c r="P524" i="1"/>
  <c r="P535" i="1"/>
  <c r="P403" i="1"/>
  <c r="P7" i="1"/>
  <c r="P361" i="1"/>
  <c r="P506" i="1"/>
  <c r="P379" i="1"/>
  <c r="P335" i="1"/>
  <c r="P443" i="1"/>
  <c r="P179" i="1"/>
  <c r="P320" i="1"/>
  <c r="P508" i="1"/>
  <c r="P69" i="1"/>
  <c r="P107" i="1"/>
  <c r="P357" i="1"/>
  <c r="P380" i="1"/>
  <c r="P474" i="1"/>
  <c r="P340" i="1"/>
  <c r="P368" i="1"/>
  <c r="P15" i="1"/>
  <c r="P66" i="1"/>
  <c r="P518" i="1"/>
  <c r="P97" i="1"/>
  <c r="P333" i="1"/>
  <c r="P496" i="1"/>
  <c r="P523" i="1"/>
  <c r="P395" i="1"/>
  <c r="P372" i="1"/>
  <c r="P166" i="1"/>
  <c r="P442" i="1"/>
  <c r="P485" i="1"/>
  <c r="P385" i="1"/>
  <c r="P294" i="1"/>
  <c r="P501" i="1"/>
  <c r="P136" i="1"/>
  <c r="P142" i="1"/>
  <c r="P616" i="1"/>
  <c r="P60" i="1"/>
  <c r="P180" i="1"/>
  <c r="P32" i="1"/>
  <c r="P59" i="1"/>
  <c r="P41" i="1"/>
  <c r="P8" i="1"/>
  <c r="P338" i="1"/>
  <c r="P511" i="1"/>
  <c r="P278" i="1"/>
  <c r="P98" i="1"/>
  <c r="P270" i="1"/>
  <c r="P419" i="1"/>
  <c r="P416" i="1"/>
  <c r="P579" i="1"/>
  <c r="P103" i="1"/>
  <c r="P260" i="1"/>
  <c r="P342" i="1"/>
  <c r="P490" i="1"/>
  <c r="P262" i="1"/>
  <c r="P480" i="1"/>
  <c r="P202" i="1"/>
  <c r="P388" i="1"/>
  <c r="P464" i="1"/>
  <c r="P34" i="1"/>
  <c r="P460" i="1"/>
  <c r="P363" i="1"/>
  <c r="P167" i="1"/>
  <c r="P224" i="1"/>
  <c r="P533" i="1"/>
  <c r="P609" i="1"/>
  <c r="P563" i="1"/>
  <c r="P205" i="1"/>
  <c r="P387" i="1"/>
  <c r="P568" i="1"/>
  <c r="P196" i="1"/>
  <c r="P80" i="1"/>
  <c r="P430" i="1"/>
  <c r="P420" i="1"/>
  <c r="P431" i="1"/>
  <c r="P39" i="1"/>
  <c r="P578" i="1"/>
  <c r="P139" i="1"/>
  <c r="P152" i="1"/>
  <c r="P504" i="1"/>
  <c r="P612" i="1"/>
  <c r="P373" i="1"/>
  <c r="P543" i="1"/>
  <c r="P426" i="1"/>
  <c r="P295" i="1"/>
  <c r="P31" i="1"/>
  <c r="P213" i="1"/>
  <c r="P551" i="1"/>
  <c r="P133" i="1"/>
  <c r="P367" i="1"/>
  <c r="P360" i="1"/>
  <c r="P522" i="1"/>
  <c r="P554" i="1"/>
  <c r="P242" i="1"/>
  <c r="P356" i="1"/>
  <c r="P466" i="1"/>
  <c r="P100" i="1"/>
  <c r="P159" i="1"/>
  <c r="P276" i="1"/>
  <c r="P81" i="1"/>
  <c r="P545" i="1"/>
  <c r="P366" i="1"/>
  <c r="P491" i="1"/>
  <c r="P337" i="1"/>
  <c r="P432" i="1"/>
  <c r="P595" i="1"/>
  <c r="P601" i="1"/>
  <c r="P472" i="1"/>
  <c r="P313" i="1"/>
  <c r="P77" i="1"/>
  <c r="P574" i="1"/>
  <c r="P408" i="1"/>
  <c r="P354" i="1"/>
  <c r="P65" i="1"/>
  <c r="P43" i="1"/>
  <c r="P463" i="1"/>
  <c r="P194" i="1"/>
  <c r="P571" i="1"/>
  <c r="P201" i="1"/>
  <c r="P267" i="1"/>
  <c r="P517" i="1"/>
  <c r="P284" i="1"/>
  <c r="P255" i="1"/>
  <c r="P33" i="1"/>
  <c r="P186" i="1"/>
  <c r="P225" i="1"/>
  <c r="P83" i="1"/>
  <c r="P229" i="1"/>
  <c r="P150" i="1"/>
  <c r="P50" i="1"/>
  <c r="P598" i="1"/>
  <c r="P286" i="1"/>
  <c r="P349" i="1"/>
  <c r="P546" i="1"/>
  <c r="P604" i="1"/>
  <c r="P418" i="1"/>
  <c r="P171" i="1"/>
  <c r="P188" i="1"/>
  <c r="P67" i="1"/>
  <c r="P105" i="1"/>
  <c r="P268" i="1"/>
  <c r="P253" i="1"/>
  <c r="P593" i="1"/>
  <c r="P451" i="1"/>
  <c r="P235" i="1"/>
  <c r="P283" i="1"/>
  <c r="P525" i="1"/>
  <c r="P58" i="1"/>
  <c r="P513" i="1"/>
  <c r="P509" i="1"/>
  <c r="P35" i="1"/>
  <c r="P113" i="1"/>
  <c r="P433" i="1"/>
  <c r="P212" i="1"/>
  <c r="P561" i="1"/>
  <c r="P245" i="1"/>
  <c r="P465" i="1"/>
  <c r="P558" i="1"/>
  <c r="P507" i="1"/>
  <c r="P334" i="1"/>
  <c r="P125" i="1"/>
  <c r="P169" i="1"/>
  <c r="P38" i="1"/>
  <c r="P510" i="1"/>
  <c r="P398" i="1"/>
  <c r="P359" i="1"/>
  <c r="P157" i="1"/>
  <c r="P597" i="1"/>
  <c r="P478" i="1"/>
  <c r="P297" i="1"/>
  <c r="P19" i="1"/>
  <c r="P401" i="1"/>
  <c r="P583" i="1"/>
  <c r="P328" i="1"/>
  <c r="P282" i="1"/>
  <c r="P425" i="1"/>
  <c r="P564" i="1"/>
  <c r="P154" i="1"/>
  <c r="P24" i="1"/>
  <c r="P409" i="1"/>
  <c r="P512" i="1"/>
  <c r="P324" i="1"/>
  <c r="P446" i="1"/>
  <c r="P560" i="1"/>
  <c r="P266" i="1"/>
  <c r="P307" i="1"/>
  <c r="P44" i="1"/>
  <c r="P542" i="1"/>
  <c r="P230" i="1"/>
  <c r="P272" i="1"/>
  <c r="P124" i="1"/>
  <c r="P306" i="1"/>
  <c r="P265" i="1"/>
  <c r="P370" i="1"/>
  <c r="P336" i="1"/>
  <c r="P241" i="1"/>
  <c r="P251" i="1"/>
  <c r="P290" i="1"/>
  <c r="P304" i="1"/>
  <c r="P293" i="1"/>
  <c r="P182" i="1"/>
  <c r="P576" i="1"/>
  <c r="P532" i="1"/>
  <c r="P569" i="1"/>
  <c r="P550" i="1"/>
  <c r="P606" i="1"/>
  <c r="P308" i="1"/>
  <c r="P417" i="1"/>
  <c r="P321" i="1"/>
  <c r="P299" i="1"/>
  <c r="P527" i="1"/>
  <c r="P325" i="1"/>
  <c r="P374" i="1"/>
  <c r="P452" i="1"/>
  <c r="P492" i="1"/>
  <c r="P534" i="1"/>
  <c r="P415" i="1"/>
  <c r="P577" i="1"/>
  <c r="P519" i="1"/>
  <c r="P422" i="1"/>
  <c r="P172" i="1"/>
  <c r="P536" i="1"/>
  <c r="P556" i="1"/>
  <c r="P326" i="1"/>
  <c r="P383" i="1"/>
  <c r="P122" i="1"/>
  <c r="P327" i="1"/>
  <c r="P207" i="1"/>
  <c r="P148" i="1"/>
  <c r="P123" i="1"/>
  <c r="P189" i="1"/>
  <c r="P218" i="1"/>
  <c r="P127" i="1"/>
  <c r="P614" i="1"/>
  <c r="P528" i="1"/>
  <c r="P572" i="1"/>
  <c r="P458" i="1"/>
  <c r="P210" i="1"/>
  <c r="P434" i="1"/>
  <c r="P600" i="1"/>
  <c r="P603" i="1"/>
  <c r="P279" i="1"/>
  <c r="P184" i="1"/>
  <c r="P473" i="1"/>
  <c r="P88" i="1"/>
  <c r="P562" i="1"/>
  <c r="P40" i="1"/>
  <c r="P599" i="1"/>
  <c r="P99" i="1"/>
  <c r="P390" i="1"/>
  <c r="P590" i="1"/>
  <c r="P316" i="1"/>
  <c r="P396" i="1"/>
  <c r="P548" i="1"/>
  <c r="P319" i="1"/>
  <c r="P482" i="1"/>
  <c r="P190" i="1"/>
  <c r="P610" i="1"/>
  <c r="P454" i="1"/>
  <c r="P588" i="1"/>
  <c r="P331" i="1"/>
  <c r="P399" i="1"/>
  <c r="P274" i="1"/>
  <c r="P68" i="1"/>
  <c r="P155" i="1"/>
  <c r="P450" i="1"/>
  <c r="P345" i="1"/>
  <c r="P236" i="1"/>
  <c r="P302" i="1"/>
  <c r="P280" i="1"/>
  <c r="P397" i="1"/>
  <c r="P291" i="1"/>
  <c r="P296" i="1"/>
  <c r="P611" i="1"/>
  <c r="P575" i="1"/>
  <c r="P200" i="1"/>
  <c r="P300" i="1"/>
  <c r="P392" i="1"/>
  <c r="P394" i="1"/>
  <c r="P585" i="1"/>
  <c r="P145" i="1"/>
  <c r="P471" i="1"/>
  <c r="P586" i="1"/>
  <c r="P444" i="1"/>
  <c r="P540" i="1"/>
  <c r="P547" i="1"/>
  <c r="P479" i="1"/>
  <c r="P505" i="1"/>
  <c r="P494" i="1"/>
  <c r="P539" i="1"/>
  <c r="P440" i="1"/>
  <c r="P393" i="1"/>
  <c r="P424" i="1"/>
  <c r="P476" i="1"/>
  <c r="P605" i="1"/>
  <c r="P475" i="1"/>
  <c r="P315" i="1"/>
  <c r="P258" i="1"/>
  <c r="P271" i="1"/>
  <c r="P237" i="1"/>
  <c r="P309" i="1"/>
  <c r="P174" i="1"/>
  <c r="P318" i="1"/>
  <c r="P165" i="1"/>
  <c r="P181" i="1"/>
  <c r="P352" i="1"/>
  <c r="P573" i="1"/>
  <c r="P468" i="1"/>
  <c r="P484" i="1"/>
  <c r="P498" i="1"/>
  <c r="P581" i="1"/>
  <c r="P175" i="1"/>
  <c r="P219" i="1"/>
  <c r="P163" i="1"/>
  <c r="P453" i="1"/>
  <c r="P217" i="1"/>
  <c r="P544" i="1"/>
  <c r="P516" i="1"/>
  <c r="P310" i="1"/>
  <c r="P537" i="1"/>
  <c r="P615" i="1"/>
  <c r="P555" i="1"/>
  <c r="P502" i="1"/>
  <c r="P477" i="1"/>
  <c r="P594" i="1"/>
  <c r="P275" i="1"/>
  <c r="P455" i="1"/>
  <c r="P521" i="1"/>
  <c r="P355" i="1"/>
  <c r="P232" i="1"/>
  <c r="P526" i="1"/>
  <c r="P323" i="1"/>
  <c r="P254" i="1"/>
  <c r="P247" i="1"/>
  <c r="P365" i="1"/>
  <c r="P406" i="1"/>
  <c r="P437" i="1"/>
  <c r="P256" i="1"/>
  <c r="P592" i="1"/>
  <c r="P344" i="1"/>
  <c r="P596" i="1"/>
  <c r="P231" i="1"/>
  <c r="P487" i="1"/>
  <c r="P173" i="1"/>
  <c r="P248" i="1"/>
  <c r="P277" i="1"/>
  <c r="P389" i="1"/>
  <c r="P350" i="1"/>
  <c r="P311" i="1"/>
  <c r="P234" i="1"/>
  <c r="P607" i="1"/>
  <c r="P329" i="1"/>
  <c r="P570" i="1"/>
  <c r="P261" i="1"/>
  <c r="O177" i="1"/>
  <c r="O85" i="1"/>
  <c r="O243" i="1"/>
  <c r="O332" i="1"/>
  <c r="O461" i="1"/>
  <c r="O185" i="1"/>
  <c r="O101" i="1"/>
  <c r="O351" i="1"/>
  <c r="O176" i="1"/>
  <c r="O197" i="1"/>
  <c r="O108" i="1"/>
  <c r="O128" i="1"/>
  <c r="O303" i="1"/>
  <c r="O567" i="1"/>
  <c r="O18" i="1"/>
  <c r="O151" i="1"/>
  <c r="O53" i="1"/>
  <c r="O78" i="1"/>
  <c r="O158" i="1"/>
  <c r="O481" i="1"/>
  <c r="O285" i="1"/>
  <c r="O203" i="1"/>
  <c r="O341" i="1"/>
  <c r="O126" i="1"/>
  <c r="O228" i="1"/>
  <c r="O591" i="1"/>
  <c r="O49" i="1"/>
  <c r="O193" i="1"/>
  <c r="O301" i="1"/>
  <c r="O11" i="1"/>
  <c r="O93" i="1"/>
  <c r="O64" i="1"/>
  <c r="O220" i="1"/>
  <c r="O503" i="1"/>
  <c r="O6" i="1"/>
  <c r="O198" i="1"/>
  <c r="O269" i="1"/>
  <c r="O221" i="1"/>
  <c r="O102" i="1"/>
  <c r="O369" i="1"/>
  <c r="O45" i="1"/>
  <c r="O37" i="1"/>
  <c r="O156" i="1"/>
  <c r="O147" i="1"/>
  <c r="O364" i="1"/>
  <c r="O216" i="1"/>
  <c r="O9" i="1"/>
  <c r="O3" i="1"/>
  <c r="O348" i="1"/>
  <c r="O72" i="1"/>
  <c r="O162" i="1"/>
  <c r="O427" i="1"/>
  <c r="O602" i="1"/>
  <c r="O557" i="1"/>
  <c r="O117" i="1"/>
  <c r="O289" i="1"/>
  <c r="O317" i="1"/>
  <c r="O428" i="1"/>
  <c r="O488" i="1"/>
  <c r="O79" i="1"/>
  <c r="O305" i="1"/>
  <c r="O90" i="1"/>
  <c r="O164" i="1"/>
  <c r="O483" i="1"/>
  <c r="O559" i="1"/>
  <c r="O423" i="1"/>
  <c r="O353" i="1"/>
  <c r="O10" i="1"/>
  <c r="O121" i="1"/>
  <c r="O178" i="1"/>
  <c r="O358" i="1"/>
  <c r="O191" i="1"/>
  <c r="O382" i="1"/>
  <c r="O449" i="1"/>
  <c r="O246" i="1"/>
  <c r="O553" i="1"/>
  <c r="O5" i="1"/>
  <c r="O91" i="1"/>
  <c r="O71" i="1"/>
  <c r="O362" i="1"/>
  <c r="O206" i="1"/>
  <c r="O92" i="1"/>
  <c r="O421" i="1"/>
  <c r="O140" i="1"/>
  <c r="O410" i="1"/>
  <c r="O23" i="1"/>
  <c r="O249" i="1"/>
  <c r="O378" i="1"/>
  <c r="O74" i="1"/>
  <c r="O114" i="1"/>
  <c r="O170" i="1"/>
  <c r="O499" i="1"/>
  <c r="O137" i="1"/>
  <c r="O12" i="1"/>
  <c r="O436" i="1"/>
  <c r="O250" i="1"/>
  <c r="O52" i="1"/>
  <c r="O456" i="1"/>
  <c r="O375" i="1"/>
  <c r="O30" i="1"/>
  <c r="O95" i="1"/>
  <c r="O96" i="1"/>
  <c r="O531" i="1"/>
  <c r="O138" i="1"/>
  <c r="O584" i="1"/>
  <c r="O457" i="1"/>
  <c r="O381" i="1"/>
  <c r="O109" i="1"/>
  <c r="O61" i="1"/>
  <c r="O111" i="1"/>
  <c r="O233" i="1"/>
  <c r="O312" i="1"/>
  <c r="O48" i="1"/>
  <c r="O208" i="1"/>
  <c r="O347" i="1"/>
  <c r="O29" i="1"/>
  <c r="O377" i="1"/>
  <c r="O146" i="1"/>
  <c r="O411" i="1"/>
  <c r="O183" i="1"/>
  <c r="O227" i="1"/>
  <c r="O435" i="1"/>
  <c r="O486" i="1"/>
  <c r="O439" i="1"/>
  <c r="O211" i="1"/>
  <c r="O438" i="1"/>
  <c r="O199" i="1"/>
  <c r="O112" i="1"/>
  <c r="O223" i="1"/>
  <c r="O467" i="1"/>
  <c r="O371" i="1"/>
  <c r="O110" i="1"/>
  <c r="O404" i="1"/>
  <c r="O143" i="1"/>
  <c r="O222" i="1"/>
  <c r="O441" i="1"/>
  <c r="O115" i="1"/>
  <c r="O391" i="1"/>
  <c r="O400" i="1"/>
  <c r="O566" i="1"/>
  <c r="O22" i="1"/>
  <c r="O240" i="1"/>
  <c r="O343" i="1"/>
  <c r="O84" i="1"/>
  <c r="O529" i="1"/>
  <c r="O132" i="1"/>
  <c r="O589" i="1"/>
  <c r="O447" i="1"/>
  <c r="O384" i="1"/>
  <c r="O238" i="1"/>
  <c r="O161" i="1"/>
  <c r="O281" i="1"/>
  <c r="O330" i="1"/>
  <c r="O613" i="1"/>
  <c r="O2" i="1"/>
  <c r="O13" i="1"/>
  <c r="O515" i="1"/>
  <c r="O413" i="1"/>
  <c r="O89" i="1"/>
  <c r="O407" i="1"/>
  <c r="O215" i="1"/>
  <c r="O82" i="1"/>
  <c r="O314" i="1"/>
  <c r="O134" i="1"/>
  <c r="O500" i="1"/>
  <c r="O87" i="1"/>
  <c r="O459" i="1"/>
  <c r="O70" i="1"/>
  <c r="O514" i="1"/>
  <c r="O129" i="1"/>
  <c r="O4" i="1"/>
  <c r="O470" i="1"/>
  <c r="O130" i="1"/>
  <c r="O252" i="1"/>
  <c r="O46" i="1"/>
  <c r="O153" i="1"/>
  <c r="O149" i="1"/>
  <c r="O76" i="1"/>
  <c r="O106" i="1"/>
  <c r="O376" i="1"/>
  <c r="O204" i="1"/>
  <c r="O62" i="1"/>
  <c r="O20" i="1"/>
  <c r="O386" i="1"/>
  <c r="O120" i="1"/>
  <c r="O168" i="1"/>
  <c r="O298" i="1"/>
  <c r="O587" i="1"/>
  <c r="O144" i="1"/>
  <c r="O288" i="1"/>
  <c r="O55" i="1"/>
  <c r="O17" i="1"/>
  <c r="O445" i="1"/>
  <c r="O47" i="1"/>
  <c r="O51" i="1"/>
  <c r="O493" i="1"/>
  <c r="O469" i="1"/>
  <c r="O118" i="1"/>
  <c r="O489" i="1"/>
  <c r="O131" i="1"/>
  <c r="O21" i="1"/>
  <c r="O63" i="1"/>
  <c r="O292" i="1"/>
  <c r="O226" i="1"/>
  <c r="O160" i="1"/>
  <c r="O26" i="1"/>
  <c r="O57" i="1"/>
  <c r="O244" i="1"/>
  <c r="O209" i="1"/>
  <c r="O582" i="1"/>
  <c r="O530" i="1"/>
  <c r="O187" i="1"/>
  <c r="O346" i="1"/>
  <c r="O214" i="1"/>
  <c r="O462" i="1"/>
  <c r="O264" i="1"/>
  <c r="O322" i="1"/>
  <c r="O414" i="1"/>
  <c r="O257" i="1"/>
  <c r="O448" i="1"/>
  <c r="O195" i="1"/>
  <c r="O538" i="1"/>
  <c r="O429" i="1"/>
  <c r="O541" i="1"/>
  <c r="O259" i="1"/>
  <c r="O94" i="1"/>
  <c r="O28" i="1"/>
  <c r="O116" i="1"/>
  <c r="O36" i="1"/>
  <c r="O56" i="1"/>
  <c r="O192" i="1"/>
  <c r="O86" i="1"/>
  <c r="O27" i="1"/>
  <c r="O42" i="1"/>
  <c r="O412" i="1"/>
  <c r="O73" i="1"/>
  <c r="O405" i="1"/>
  <c r="O273" i="1"/>
  <c r="O263" i="1"/>
  <c r="O16" i="1"/>
  <c r="O580" i="1"/>
  <c r="O608" i="1"/>
  <c r="O25" i="1"/>
  <c r="O135" i="1"/>
  <c r="O14" i="1"/>
  <c r="O552" i="1"/>
  <c r="O497" i="1"/>
  <c r="O141" i="1"/>
  <c r="O239" i="1"/>
  <c r="O339" i="1"/>
  <c r="O54" i="1"/>
  <c r="O287" i="1"/>
  <c r="O565" i="1"/>
  <c r="O104" i="1"/>
  <c r="O520" i="1"/>
  <c r="O119" i="1"/>
  <c r="O402" i="1"/>
  <c r="O75" i="1"/>
  <c r="O549" i="1"/>
  <c r="O495" i="1"/>
  <c r="O524" i="1"/>
  <c r="O535" i="1"/>
  <c r="O403" i="1"/>
  <c r="O7" i="1"/>
  <c r="O361" i="1"/>
  <c r="O506" i="1"/>
  <c r="O379" i="1"/>
  <c r="O335" i="1"/>
  <c r="O443" i="1"/>
  <c r="O179" i="1"/>
  <c r="O320" i="1"/>
  <c r="O508" i="1"/>
  <c r="O69" i="1"/>
  <c r="O107" i="1"/>
  <c r="O357" i="1"/>
  <c r="O380" i="1"/>
  <c r="O474" i="1"/>
  <c r="O340" i="1"/>
  <c r="O368" i="1"/>
  <c r="O15" i="1"/>
  <c r="O66" i="1"/>
  <c r="O518" i="1"/>
  <c r="O97" i="1"/>
  <c r="O333" i="1"/>
  <c r="O496" i="1"/>
  <c r="O523" i="1"/>
  <c r="O395" i="1"/>
  <c r="O372" i="1"/>
  <c r="O166" i="1"/>
  <c r="O442" i="1"/>
  <c r="O485" i="1"/>
  <c r="O385" i="1"/>
  <c r="O294" i="1"/>
  <c r="O501" i="1"/>
  <c r="O136" i="1"/>
  <c r="O142" i="1"/>
  <c r="O616" i="1"/>
  <c r="O60" i="1"/>
  <c r="O180" i="1"/>
  <c r="O32" i="1"/>
  <c r="O59" i="1"/>
  <c r="O41" i="1"/>
  <c r="O8" i="1"/>
  <c r="O338" i="1"/>
  <c r="O511" i="1"/>
  <c r="O278" i="1"/>
  <c r="O98" i="1"/>
  <c r="O270" i="1"/>
  <c r="O419" i="1"/>
  <c r="O416" i="1"/>
  <c r="O579" i="1"/>
  <c r="O103" i="1"/>
  <c r="O260" i="1"/>
  <c r="O342" i="1"/>
  <c r="O490" i="1"/>
  <c r="O262" i="1"/>
  <c r="O480" i="1"/>
  <c r="O202" i="1"/>
  <c r="O388" i="1"/>
  <c r="O464" i="1"/>
  <c r="O34" i="1"/>
  <c r="O460" i="1"/>
  <c r="O363" i="1"/>
  <c r="O167" i="1"/>
  <c r="O224" i="1"/>
  <c r="O533" i="1"/>
  <c r="O609" i="1"/>
  <c r="O563" i="1"/>
  <c r="O205" i="1"/>
  <c r="O387" i="1"/>
  <c r="O568" i="1"/>
  <c r="O196" i="1"/>
  <c r="O80" i="1"/>
  <c r="O430" i="1"/>
  <c r="O420" i="1"/>
  <c r="O431" i="1"/>
  <c r="O39" i="1"/>
  <c r="O578" i="1"/>
  <c r="O139" i="1"/>
  <c r="O152" i="1"/>
  <c r="O504" i="1"/>
  <c r="O612" i="1"/>
  <c r="O373" i="1"/>
  <c r="O543" i="1"/>
  <c r="O426" i="1"/>
  <c r="O295" i="1"/>
  <c r="O31" i="1"/>
  <c r="O213" i="1"/>
  <c r="O551" i="1"/>
  <c r="O133" i="1"/>
  <c r="O367" i="1"/>
  <c r="O360" i="1"/>
  <c r="O522" i="1"/>
  <c r="O554" i="1"/>
  <c r="O242" i="1"/>
  <c r="O356" i="1"/>
  <c r="O466" i="1"/>
  <c r="O100" i="1"/>
  <c r="O159" i="1"/>
  <c r="O276" i="1"/>
  <c r="O81" i="1"/>
  <c r="O545" i="1"/>
  <c r="O366" i="1"/>
  <c r="O491" i="1"/>
  <c r="O337" i="1"/>
  <c r="O432" i="1"/>
  <c r="O595" i="1"/>
  <c r="O601" i="1"/>
  <c r="O472" i="1"/>
  <c r="O313" i="1"/>
  <c r="O77" i="1"/>
  <c r="O574" i="1"/>
  <c r="O408" i="1"/>
  <c r="O354" i="1"/>
  <c r="O65" i="1"/>
  <c r="O43" i="1"/>
  <c r="O463" i="1"/>
  <c r="O194" i="1"/>
  <c r="O571" i="1"/>
  <c r="O201" i="1"/>
  <c r="O267" i="1"/>
  <c r="O517" i="1"/>
  <c r="O284" i="1"/>
  <c r="O255" i="1"/>
  <c r="O33" i="1"/>
  <c r="O186" i="1"/>
  <c r="O225" i="1"/>
  <c r="O83" i="1"/>
  <c r="O229" i="1"/>
  <c r="O150" i="1"/>
  <c r="O50" i="1"/>
  <c r="O598" i="1"/>
  <c r="O286" i="1"/>
  <c r="O349" i="1"/>
  <c r="O546" i="1"/>
  <c r="O604" i="1"/>
  <c r="O418" i="1"/>
  <c r="O171" i="1"/>
  <c r="O188" i="1"/>
  <c r="O67" i="1"/>
  <c r="O105" i="1"/>
  <c r="O268" i="1"/>
  <c r="O253" i="1"/>
  <c r="O593" i="1"/>
  <c r="O451" i="1"/>
  <c r="O235" i="1"/>
  <c r="O283" i="1"/>
  <c r="O525" i="1"/>
  <c r="O58" i="1"/>
  <c r="O513" i="1"/>
  <c r="O509" i="1"/>
  <c r="O35" i="1"/>
  <c r="O113" i="1"/>
  <c r="O433" i="1"/>
  <c r="O212" i="1"/>
  <c r="O561" i="1"/>
  <c r="O245" i="1"/>
  <c r="O465" i="1"/>
  <c r="O558" i="1"/>
  <c r="O507" i="1"/>
  <c r="O334" i="1"/>
  <c r="O125" i="1"/>
  <c r="O169" i="1"/>
  <c r="O38" i="1"/>
  <c r="O510" i="1"/>
  <c r="O398" i="1"/>
  <c r="O359" i="1"/>
  <c r="O157" i="1"/>
  <c r="O597" i="1"/>
  <c r="O478" i="1"/>
  <c r="O297" i="1"/>
  <c r="O19" i="1"/>
  <c r="O401" i="1"/>
  <c r="O583" i="1"/>
  <c r="O328" i="1"/>
  <c r="O282" i="1"/>
  <c r="O425" i="1"/>
  <c r="O564" i="1"/>
  <c r="O154" i="1"/>
  <c r="O24" i="1"/>
  <c r="O409" i="1"/>
  <c r="O512" i="1"/>
  <c r="O324" i="1"/>
  <c r="O446" i="1"/>
  <c r="O560" i="1"/>
  <c r="O266" i="1"/>
  <c r="O307" i="1"/>
  <c r="O44" i="1"/>
  <c r="O542" i="1"/>
  <c r="O230" i="1"/>
  <c r="O272" i="1"/>
  <c r="O124" i="1"/>
  <c r="O306" i="1"/>
  <c r="O265" i="1"/>
  <c r="O370" i="1"/>
  <c r="O336" i="1"/>
  <c r="O241" i="1"/>
  <c r="O251" i="1"/>
  <c r="O290" i="1"/>
  <c r="O304" i="1"/>
  <c r="O293" i="1"/>
  <c r="O182" i="1"/>
  <c r="O576" i="1"/>
  <c r="O532" i="1"/>
  <c r="O569" i="1"/>
  <c r="O550" i="1"/>
  <c r="O606" i="1"/>
  <c r="O308" i="1"/>
  <c r="O417" i="1"/>
  <c r="O321" i="1"/>
  <c r="O299" i="1"/>
  <c r="O527" i="1"/>
  <c r="O325" i="1"/>
  <c r="O374" i="1"/>
  <c r="O452" i="1"/>
  <c r="O492" i="1"/>
  <c r="O534" i="1"/>
  <c r="O415" i="1"/>
  <c r="O577" i="1"/>
  <c r="O519" i="1"/>
  <c r="O422" i="1"/>
  <c r="O172" i="1"/>
  <c r="O536" i="1"/>
  <c r="O556" i="1"/>
  <c r="O326" i="1"/>
  <c r="O383" i="1"/>
  <c r="O122" i="1"/>
  <c r="O327" i="1"/>
  <c r="O207" i="1"/>
  <c r="O148" i="1"/>
  <c r="O123" i="1"/>
  <c r="O189" i="1"/>
  <c r="O218" i="1"/>
  <c r="O127" i="1"/>
  <c r="O614" i="1"/>
  <c r="O528" i="1"/>
  <c r="O572" i="1"/>
  <c r="O458" i="1"/>
  <c r="O210" i="1"/>
  <c r="O434" i="1"/>
  <c r="O600" i="1"/>
  <c r="O603" i="1"/>
  <c r="O279" i="1"/>
  <c r="O184" i="1"/>
  <c r="O473" i="1"/>
  <c r="O88" i="1"/>
  <c r="O562" i="1"/>
  <c r="O40" i="1"/>
  <c r="O599" i="1"/>
  <c r="O99" i="1"/>
  <c r="O390" i="1"/>
  <c r="O590" i="1"/>
  <c r="O316" i="1"/>
  <c r="O396" i="1"/>
  <c r="O548" i="1"/>
  <c r="O319" i="1"/>
  <c r="O482" i="1"/>
  <c r="O190" i="1"/>
  <c r="O610" i="1"/>
  <c r="O454" i="1"/>
  <c r="O588" i="1"/>
  <c r="O331" i="1"/>
  <c r="O399" i="1"/>
  <c r="O274" i="1"/>
  <c r="O68" i="1"/>
  <c r="O155" i="1"/>
  <c r="O450" i="1"/>
  <c r="O345" i="1"/>
  <c r="O236" i="1"/>
  <c r="O302" i="1"/>
  <c r="O280" i="1"/>
  <c r="O397" i="1"/>
  <c r="O291" i="1"/>
  <c r="O296" i="1"/>
  <c r="O611" i="1"/>
  <c r="O575" i="1"/>
  <c r="O200" i="1"/>
  <c r="O300" i="1"/>
  <c r="O392" i="1"/>
  <c r="O394" i="1"/>
  <c r="O585" i="1"/>
  <c r="O145" i="1"/>
  <c r="O471" i="1"/>
  <c r="O586" i="1"/>
  <c r="O444" i="1"/>
  <c r="O540" i="1"/>
  <c r="O547" i="1"/>
  <c r="O479" i="1"/>
  <c r="O505" i="1"/>
  <c r="O494" i="1"/>
  <c r="O539" i="1"/>
  <c r="O440" i="1"/>
  <c r="O393" i="1"/>
  <c r="O424" i="1"/>
  <c r="O476" i="1"/>
  <c r="O605" i="1"/>
  <c r="O475" i="1"/>
  <c r="O315" i="1"/>
  <c r="O258" i="1"/>
  <c r="O271" i="1"/>
  <c r="O237" i="1"/>
  <c r="O309" i="1"/>
  <c r="O174" i="1"/>
  <c r="O318" i="1"/>
  <c r="O165" i="1"/>
  <c r="O181" i="1"/>
  <c r="O352" i="1"/>
  <c r="O573" i="1"/>
  <c r="O468" i="1"/>
  <c r="O484" i="1"/>
  <c r="O498" i="1"/>
  <c r="O581" i="1"/>
  <c r="O175" i="1"/>
  <c r="O219" i="1"/>
  <c r="O163" i="1"/>
  <c r="O453" i="1"/>
  <c r="O217" i="1"/>
  <c r="O544" i="1"/>
  <c r="O516" i="1"/>
  <c r="O310" i="1"/>
  <c r="O537" i="1"/>
  <c r="O615" i="1"/>
  <c r="O555" i="1"/>
  <c r="O502" i="1"/>
  <c r="O477" i="1"/>
  <c r="O594" i="1"/>
  <c r="O275" i="1"/>
  <c r="O455" i="1"/>
  <c r="O521" i="1"/>
  <c r="O355" i="1"/>
  <c r="O232" i="1"/>
  <c r="O526" i="1"/>
  <c r="O323" i="1"/>
  <c r="O254" i="1"/>
  <c r="O247" i="1"/>
  <c r="O365" i="1"/>
  <c r="O406" i="1"/>
  <c r="O437" i="1"/>
  <c r="O256" i="1"/>
  <c r="O592" i="1"/>
  <c r="O344" i="1"/>
  <c r="O596" i="1"/>
  <c r="O231" i="1"/>
  <c r="O487" i="1"/>
  <c r="O173" i="1"/>
  <c r="O248" i="1"/>
  <c r="O277" i="1"/>
  <c r="O389" i="1"/>
  <c r="O350" i="1"/>
  <c r="O311" i="1"/>
  <c r="O234" i="1"/>
  <c r="O607" i="1"/>
  <c r="O329" i="1"/>
  <c r="O570" i="1"/>
  <c r="O261" i="1"/>
  <c r="N177" i="1"/>
  <c r="N85" i="1"/>
  <c r="N243" i="1"/>
  <c r="N332" i="1"/>
  <c r="N461" i="1"/>
  <c r="N185" i="1"/>
  <c r="N101" i="1"/>
  <c r="N351" i="1"/>
  <c r="N176" i="1"/>
  <c r="N197" i="1"/>
  <c r="N108" i="1"/>
  <c r="N128" i="1"/>
  <c r="N303" i="1"/>
  <c r="N567" i="1"/>
  <c r="N18" i="1"/>
  <c r="N151" i="1"/>
  <c r="N53" i="1"/>
  <c r="N78" i="1"/>
  <c r="N158" i="1"/>
  <c r="N481" i="1"/>
  <c r="N285" i="1"/>
  <c r="N203" i="1"/>
  <c r="N341" i="1"/>
  <c r="N126" i="1"/>
  <c r="N228" i="1"/>
  <c r="N591" i="1"/>
  <c r="N49" i="1"/>
  <c r="N193" i="1"/>
  <c r="N301" i="1"/>
  <c r="N11" i="1"/>
  <c r="N93" i="1"/>
  <c r="N64" i="1"/>
  <c r="N220" i="1"/>
  <c r="N503" i="1"/>
  <c r="N6" i="1"/>
  <c r="N198" i="1"/>
  <c r="N269" i="1"/>
  <c r="N221" i="1"/>
  <c r="N102" i="1"/>
  <c r="N369" i="1"/>
  <c r="N45" i="1"/>
  <c r="N37" i="1"/>
  <c r="N156" i="1"/>
  <c r="N147" i="1"/>
  <c r="N364" i="1"/>
  <c r="N216" i="1"/>
  <c r="N9" i="1"/>
  <c r="N3" i="1"/>
  <c r="N348" i="1"/>
  <c r="N72" i="1"/>
  <c r="N162" i="1"/>
  <c r="N427" i="1"/>
  <c r="N602" i="1"/>
  <c r="N557" i="1"/>
  <c r="N117" i="1"/>
  <c r="N289" i="1"/>
  <c r="N317" i="1"/>
  <c r="N428" i="1"/>
  <c r="N488" i="1"/>
  <c r="N79" i="1"/>
  <c r="N305" i="1"/>
  <c r="N90" i="1"/>
  <c r="N164" i="1"/>
  <c r="N483" i="1"/>
  <c r="N559" i="1"/>
  <c r="N423" i="1"/>
  <c r="N353" i="1"/>
  <c r="N10" i="1"/>
  <c r="N121" i="1"/>
  <c r="N178" i="1"/>
  <c r="N358" i="1"/>
  <c r="N191" i="1"/>
  <c r="N382" i="1"/>
  <c r="N449" i="1"/>
  <c r="N246" i="1"/>
  <c r="N553" i="1"/>
  <c r="N5" i="1"/>
  <c r="N91" i="1"/>
  <c r="N71" i="1"/>
  <c r="N362" i="1"/>
  <c r="N206" i="1"/>
  <c r="N92" i="1"/>
  <c r="N421" i="1"/>
  <c r="N140" i="1"/>
  <c r="N410" i="1"/>
  <c r="N23" i="1"/>
  <c r="N249" i="1"/>
  <c r="N378" i="1"/>
  <c r="N74" i="1"/>
  <c r="N114" i="1"/>
  <c r="N170" i="1"/>
  <c r="N499" i="1"/>
  <c r="N137" i="1"/>
  <c r="N12" i="1"/>
  <c r="N436" i="1"/>
  <c r="N250" i="1"/>
  <c r="N52" i="1"/>
  <c r="N456" i="1"/>
  <c r="N375" i="1"/>
  <c r="N30" i="1"/>
  <c r="N95" i="1"/>
  <c r="N96" i="1"/>
  <c r="N531" i="1"/>
  <c r="N138" i="1"/>
  <c r="N584" i="1"/>
  <c r="N457" i="1"/>
  <c r="N381" i="1"/>
  <c r="N109" i="1"/>
  <c r="N61" i="1"/>
  <c r="N111" i="1"/>
  <c r="N233" i="1"/>
  <c r="N312" i="1"/>
  <c r="N48" i="1"/>
  <c r="N208" i="1"/>
  <c r="N347" i="1"/>
  <c r="N29" i="1"/>
  <c r="N377" i="1"/>
  <c r="N146" i="1"/>
  <c r="N411" i="1"/>
  <c r="N183" i="1"/>
  <c r="N227" i="1"/>
  <c r="N435" i="1"/>
  <c r="N486" i="1"/>
  <c r="N439" i="1"/>
  <c r="N211" i="1"/>
  <c r="N438" i="1"/>
  <c r="N199" i="1"/>
  <c r="N112" i="1"/>
  <c r="N223" i="1"/>
  <c r="N467" i="1"/>
  <c r="N371" i="1"/>
  <c r="N110" i="1"/>
  <c r="N404" i="1"/>
  <c r="N143" i="1"/>
  <c r="N222" i="1"/>
  <c r="N441" i="1"/>
  <c r="N115" i="1"/>
  <c r="N391" i="1"/>
  <c r="N400" i="1"/>
  <c r="N566" i="1"/>
  <c r="N22" i="1"/>
  <c r="N240" i="1"/>
  <c r="N343" i="1"/>
  <c r="N84" i="1"/>
  <c r="N529" i="1"/>
  <c r="N132" i="1"/>
  <c r="N589" i="1"/>
  <c r="N447" i="1"/>
  <c r="N384" i="1"/>
  <c r="N238" i="1"/>
  <c r="N161" i="1"/>
  <c r="N281" i="1"/>
  <c r="N330" i="1"/>
  <c r="N613" i="1"/>
  <c r="N2" i="1"/>
  <c r="N13" i="1"/>
  <c r="N515" i="1"/>
  <c r="N413" i="1"/>
  <c r="N89" i="1"/>
  <c r="N407" i="1"/>
  <c r="N215" i="1"/>
  <c r="N82" i="1"/>
  <c r="N314" i="1"/>
  <c r="N134" i="1"/>
  <c r="N500" i="1"/>
  <c r="N87" i="1"/>
  <c r="N459" i="1"/>
  <c r="N70" i="1"/>
  <c r="N514" i="1"/>
  <c r="N129" i="1"/>
  <c r="N4" i="1"/>
  <c r="N470" i="1"/>
  <c r="N130" i="1"/>
  <c r="N252" i="1"/>
  <c r="N46" i="1"/>
  <c r="N153" i="1"/>
  <c r="N149" i="1"/>
  <c r="N76" i="1"/>
  <c r="N106" i="1"/>
  <c r="N376" i="1"/>
  <c r="N204" i="1"/>
  <c r="N62" i="1"/>
  <c r="N20" i="1"/>
  <c r="N386" i="1"/>
  <c r="N120" i="1"/>
  <c r="N168" i="1"/>
  <c r="N298" i="1"/>
  <c r="N587" i="1"/>
  <c r="N144" i="1"/>
  <c r="N288" i="1"/>
  <c r="N55" i="1"/>
  <c r="N17" i="1"/>
  <c r="N445" i="1"/>
  <c r="N47" i="1"/>
  <c r="N51" i="1"/>
  <c r="N493" i="1"/>
  <c r="N469" i="1"/>
  <c r="N118" i="1"/>
  <c r="N489" i="1"/>
  <c r="N131" i="1"/>
  <c r="N21" i="1"/>
  <c r="N63" i="1"/>
  <c r="N292" i="1"/>
  <c r="N226" i="1"/>
  <c r="N160" i="1"/>
  <c r="N26" i="1"/>
  <c r="N57" i="1"/>
  <c r="N244" i="1"/>
  <c r="N209" i="1"/>
  <c r="N582" i="1"/>
  <c r="N530" i="1"/>
  <c r="N187" i="1"/>
  <c r="N346" i="1"/>
  <c r="N214" i="1"/>
  <c r="N462" i="1"/>
  <c r="N264" i="1"/>
  <c r="N322" i="1"/>
  <c r="N414" i="1"/>
  <c r="N257" i="1"/>
  <c r="N448" i="1"/>
  <c r="N195" i="1"/>
  <c r="N538" i="1"/>
  <c r="N429" i="1"/>
  <c r="N541" i="1"/>
  <c r="N259" i="1"/>
  <c r="N94" i="1"/>
  <c r="N28" i="1"/>
  <c r="N116" i="1"/>
  <c r="N36" i="1"/>
  <c r="N56" i="1"/>
  <c r="N192" i="1"/>
  <c r="N86" i="1"/>
  <c r="N27" i="1"/>
  <c r="N42" i="1"/>
  <c r="N412" i="1"/>
  <c r="N73" i="1"/>
  <c r="N405" i="1"/>
  <c r="N273" i="1"/>
  <c r="N263" i="1"/>
  <c r="N16" i="1"/>
  <c r="N580" i="1"/>
  <c r="N608" i="1"/>
  <c r="N25" i="1"/>
  <c r="N135" i="1"/>
  <c r="N14" i="1"/>
  <c r="N552" i="1"/>
  <c r="N497" i="1"/>
  <c r="N141" i="1"/>
  <c r="N239" i="1"/>
  <c r="N339" i="1"/>
  <c r="N54" i="1"/>
  <c r="N287" i="1"/>
  <c r="N565" i="1"/>
  <c r="N104" i="1"/>
  <c r="N520" i="1"/>
  <c r="N119" i="1"/>
  <c r="N402" i="1"/>
  <c r="N75" i="1"/>
  <c r="N549" i="1"/>
  <c r="N495" i="1"/>
  <c r="N524" i="1"/>
  <c r="N535" i="1"/>
  <c r="N403" i="1"/>
  <c r="N7" i="1"/>
  <c r="N361" i="1"/>
  <c r="N506" i="1"/>
  <c r="N379" i="1"/>
  <c r="N335" i="1"/>
  <c r="N443" i="1"/>
  <c r="N179" i="1"/>
  <c r="N320" i="1"/>
  <c r="N508" i="1"/>
  <c r="N69" i="1"/>
  <c r="N107" i="1"/>
  <c r="N357" i="1"/>
  <c r="N380" i="1"/>
  <c r="N474" i="1"/>
  <c r="N340" i="1"/>
  <c r="N368" i="1"/>
  <c r="N15" i="1"/>
  <c r="N66" i="1"/>
  <c r="N518" i="1"/>
  <c r="N97" i="1"/>
  <c r="N333" i="1"/>
  <c r="N496" i="1"/>
  <c r="N523" i="1"/>
  <c r="N395" i="1"/>
  <c r="N372" i="1"/>
  <c r="N166" i="1"/>
  <c r="N442" i="1"/>
  <c r="N485" i="1"/>
  <c r="N385" i="1"/>
  <c r="N294" i="1"/>
  <c r="N501" i="1"/>
  <c r="N136" i="1"/>
  <c r="N142" i="1"/>
  <c r="N616" i="1"/>
  <c r="N60" i="1"/>
  <c r="N180" i="1"/>
  <c r="N32" i="1"/>
  <c r="N59" i="1"/>
  <c r="N41" i="1"/>
  <c r="N8" i="1"/>
  <c r="N338" i="1"/>
  <c r="N511" i="1"/>
  <c r="N278" i="1"/>
  <c r="N98" i="1"/>
  <c r="N270" i="1"/>
  <c r="N419" i="1"/>
  <c r="N416" i="1"/>
  <c r="N579" i="1"/>
  <c r="N103" i="1"/>
  <c r="N260" i="1"/>
  <c r="N342" i="1"/>
  <c r="N490" i="1"/>
  <c r="N262" i="1"/>
  <c r="N480" i="1"/>
  <c r="N202" i="1"/>
  <c r="N388" i="1"/>
  <c r="N464" i="1"/>
  <c r="N34" i="1"/>
  <c r="N460" i="1"/>
  <c r="N363" i="1"/>
  <c r="N167" i="1"/>
  <c r="N224" i="1"/>
  <c r="N533" i="1"/>
  <c r="N609" i="1"/>
  <c r="N563" i="1"/>
  <c r="N205" i="1"/>
  <c r="N387" i="1"/>
  <c r="N568" i="1"/>
  <c r="N196" i="1"/>
  <c r="N80" i="1"/>
  <c r="N430" i="1"/>
  <c r="N420" i="1"/>
  <c r="N431" i="1"/>
  <c r="N39" i="1"/>
  <c r="N578" i="1"/>
  <c r="N139" i="1"/>
  <c r="N152" i="1"/>
  <c r="N504" i="1"/>
  <c r="N612" i="1"/>
  <c r="N373" i="1"/>
  <c r="N543" i="1"/>
  <c r="N426" i="1"/>
  <c r="N295" i="1"/>
  <c r="N31" i="1"/>
  <c r="N213" i="1"/>
  <c r="N551" i="1"/>
  <c r="N133" i="1"/>
  <c r="N367" i="1"/>
  <c r="N360" i="1"/>
  <c r="N522" i="1"/>
  <c r="N554" i="1"/>
  <c r="N242" i="1"/>
  <c r="N356" i="1"/>
  <c r="N466" i="1"/>
  <c r="N100" i="1"/>
  <c r="N159" i="1"/>
  <c r="N276" i="1"/>
  <c r="N81" i="1"/>
  <c r="N545" i="1"/>
  <c r="N366" i="1"/>
  <c r="N491" i="1"/>
  <c r="N337" i="1"/>
  <c r="N432" i="1"/>
  <c r="N595" i="1"/>
  <c r="N601" i="1"/>
  <c r="N472" i="1"/>
  <c r="N313" i="1"/>
  <c r="N77" i="1"/>
  <c r="N574" i="1"/>
  <c r="N408" i="1"/>
  <c r="N354" i="1"/>
  <c r="N65" i="1"/>
  <c r="N43" i="1"/>
  <c r="N463" i="1"/>
  <c r="N194" i="1"/>
  <c r="N571" i="1"/>
  <c r="N201" i="1"/>
  <c r="N267" i="1"/>
  <c r="N517" i="1"/>
  <c r="N284" i="1"/>
  <c r="N255" i="1"/>
  <c r="N33" i="1"/>
  <c r="N186" i="1"/>
  <c r="N225" i="1"/>
  <c r="N83" i="1"/>
  <c r="N229" i="1"/>
  <c r="N150" i="1"/>
  <c r="N50" i="1"/>
  <c r="N598" i="1"/>
  <c r="N286" i="1"/>
  <c r="N349" i="1"/>
  <c r="N546" i="1"/>
  <c r="N604" i="1"/>
  <c r="N418" i="1"/>
  <c r="N171" i="1"/>
  <c r="N188" i="1"/>
  <c r="N67" i="1"/>
  <c r="N105" i="1"/>
  <c r="N268" i="1"/>
  <c r="N253" i="1"/>
  <c r="N593" i="1"/>
  <c r="N451" i="1"/>
  <c r="N235" i="1"/>
  <c r="N283" i="1"/>
  <c r="N525" i="1"/>
  <c r="N58" i="1"/>
  <c r="N513" i="1"/>
  <c r="N509" i="1"/>
  <c r="N35" i="1"/>
  <c r="N113" i="1"/>
  <c r="N433" i="1"/>
  <c r="N212" i="1"/>
  <c r="N561" i="1"/>
  <c r="N245" i="1"/>
  <c r="N465" i="1"/>
  <c r="N558" i="1"/>
  <c r="N507" i="1"/>
  <c r="N334" i="1"/>
  <c r="N125" i="1"/>
  <c r="N169" i="1"/>
  <c r="N38" i="1"/>
  <c r="N510" i="1"/>
  <c r="N398" i="1"/>
  <c r="N359" i="1"/>
  <c r="N157" i="1"/>
  <c r="N597" i="1"/>
  <c r="N478" i="1"/>
  <c r="N297" i="1"/>
  <c r="N19" i="1"/>
  <c r="N401" i="1"/>
  <c r="N583" i="1"/>
  <c r="N328" i="1"/>
  <c r="N282" i="1"/>
  <c r="N425" i="1"/>
  <c r="N564" i="1"/>
  <c r="N154" i="1"/>
  <c r="N24" i="1"/>
  <c r="N409" i="1"/>
  <c r="N512" i="1"/>
  <c r="N324" i="1"/>
  <c r="N446" i="1"/>
  <c r="N560" i="1"/>
  <c r="N266" i="1"/>
  <c r="N307" i="1"/>
  <c r="N44" i="1"/>
  <c r="N542" i="1"/>
  <c r="N230" i="1"/>
  <c r="N272" i="1"/>
  <c r="N124" i="1"/>
  <c r="N306" i="1"/>
  <c r="N265" i="1"/>
  <c r="N370" i="1"/>
  <c r="N336" i="1"/>
  <c r="N241" i="1"/>
  <c r="N251" i="1"/>
  <c r="N290" i="1"/>
  <c r="N304" i="1"/>
  <c r="N293" i="1"/>
  <c r="N182" i="1"/>
  <c r="N576" i="1"/>
  <c r="N532" i="1"/>
  <c r="N569" i="1"/>
  <c r="N550" i="1"/>
  <c r="N606" i="1"/>
  <c r="N308" i="1"/>
  <c r="N417" i="1"/>
  <c r="N321" i="1"/>
  <c r="N299" i="1"/>
  <c r="N527" i="1"/>
  <c r="N325" i="1"/>
  <c r="N374" i="1"/>
  <c r="N452" i="1"/>
  <c r="N492" i="1"/>
  <c r="N534" i="1"/>
  <c r="N415" i="1"/>
  <c r="N577" i="1"/>
  <c r="N519" i="1"/>
  <c r="N422" i="1"/>
  <c r="N172" i="1"/>
  <c r="N536" i="1"/>
  <c r="N556" i="1"/>
  <c r="N326" i="1"/>
  <c r="N383" i="1"/>
  <c r="N122" i="1"/>
  <c r="N327" i="1"/>
  <c r="N207" i="1"/>
  <c r="N148" i="1"/>
  <c r="N123" i="1"/>
  <c r="N189" i="1"/>
  <c r="N218" i="1"/>
  <c r="N127" i="1"/>
  <c r="N614" i="1"/>
  <c r="N528" i="1"/>
  <c r="N572" i="1"/>
  <c r="N458" i="1"/>
  <c r="N210" i="1"/>
  <c r="N434" i="1"/>
  <c r="N600" i="1"/>
  <c r="N603" i="1"/>
  <c r="N279" i="1"/>
  <c r="N184" i="1"/>
  <c r="N473" i="1"/>
  <c r="N88" i="1"/>
  <c r="N562" i="1"/>
  <c r="N40" i="1"/>
  <c r="N599" i="1"/>
  <c r="N99" i="1"/>
  <c r="N390" i="1"/>
  <c r="N590" i="1"/>
  <c r="N316" i="1"/>
  <c r="N396" i="1"/>
  <c r="N548" i="1"/>
  <c r="N319" i="1"/>
  <c r="N482" i="1"/>
  <c r="N190" i="1"/>
  <c r="N610" i="1"/>
  <c r="N454" i="1"/>
  <c r="N588" i="1"/>
  <c r="N331" i="1"/>
  <c r="N399" i="1"/>
  <c r="N274" i="1"/>
  <c r="N68" i="1"/>
  <c r="N155" i="1"/>
  <c r="N450" i="1"/>
  <c r="N345" i="1"/>
  <c r="N236" i="1"/>
  <c r="N302" i="1"/>
  <c r="N280" i="1"/>
  <c r="N397" i="1"/>
  <c r="N291" i="1"/>
  <c r="N296" i="1"/>
  <c r="N611" i="1"/>
  <c r="N575" i="1"/>
  <c r="N200" i="1"/>
  <c r="N300" i="1"/>
  <c r="N392" i="1"/>
  <c r="N394" i="1"/>
  <c r="N585" i="1"/>
  <c r="N145" i="1"/>
  <c r="N471" i="1"/>
  <c r="N586" i="1"/>
  <c r="N444" i="1"/>
  <c r="N540" i="1"/>
  <c r="N547" i="1"/>
  <c r="N479" i="1"/>
  <c r="N505" i="1"/>
  <c r="N494" i="1"/>
  <c r="N539" i="1"/>
  <c r="N440" i="1"/>
  <c r="N393" i="1"/>
  <c r="N424" i="1"/>
  <c r="N476" i="1"/>
  <c r="N605" i="1"/>
  <c r="N475" i="1"/>
  <c r="N315" i="1"/>
  <c r="N258" i="1"/>
  <c r="N271" i="1"/>
  <c r="N237" i="1"/>
  <c r="N309" i="1"/>
  <c r="N174" i="1"/>
  <c r="N318" i="1"/>
  <c r="N165" i="1"/>
  <c r="N181" i="1"/>
  <c r="N352" i="1"/>
  <c r="N573" i="1"/>
  <c r="N468" i="1"/>
  <c r="N484" i="1"/>
  <c r="N498" i="1"/>
  <c r="N581" i="1"/>
  <c r="N175" i="1"/>
  <c r="N219" i="1"/>
  <c r="N163" i="1"/>
  <c r="N453" i="1"/>
  <c r="N217" i="1"/>
  <c r="N544" i="1"/>
  <c r="N516" i="1"/>
  <c r="N310" i="1"/>
  <c r="N537" i="1"/>
  <c r="N615" i="1"/>
  <c r="N555" i="1"/>
  <c r="N502" i="1"/>
  <c r="N477" i="1"/>
  <c r="N594" i="1"/>
  <c r="N275" i="1"/>
  <c r="N455" i="1"/>
  <c r="N521" i="1"/>
  <c r="N355" i="1"/>
  <c r="N232" i="1"/>
  <c r="N526" i="1"/>
  <c r="N323" i="1"/>
  <c r="N254" i="1"/>
  <c r="N247" i="1"/>
  <c r="N365" i="1"/>
  <c r="N406" i="1"/>
  <c r="N437" i="1"/>
  <c r="N256" i="1"/>
  <c r="N592" i="1"/>
  <c r="N344" i="1"/>
  <c r="N596" i="1"/>
  <c r="N231" i="1"/>
  <c r="N487" i="1"/>
  <c r="N173" i="1"/>
  <c r="N248" i="1"/>
  <c r="N277" i="1"/>
  <c r="N389" i="1"/>
  <c r="N350" i="1"/>
  <c r="N311" i="1"/>
  <c r="N234" i="1"/>
  <c r="N607" i="1"/>
  <c r="N329" i="1"/>
  <c r="N570" i="1"/>
  <c r="N261" i="1"/>
  <c r="H36" i="3"/>
  <c r="I36" i="3" s="1"/>
  <c r="L37" i="3" s="1"/>
  <c r="J68" i="3" s="1"/>
  <c r="H37" i="3"/>
  <c r="H38" i="3"/>
  <c r="H39" i="3"/>
  <c r="H40" i="3"/>
  <c r="H41" i="3"/>
  <c r="H42" i="3"/>
  <c r="H43" i="3"/>
  <c r="H44" i="3"/>
  <c r="H45" i="3"/>
  <c r="H46" i="3"/>
  <c r="H49" i="3"/>
  <c r="I49" i="3" s="1"/>
  <c r="L50" i="3" s="1"/>
  <c r="J81" i="3" s="1"/>
  <c r="I43" i="3" l="1"/>
  <c r="L44" i="3" s="1"/>
  <c r="J75" i="3" s="1"/>
  <c r="I46" i="3"/>
  <c r="I42" i="3"/>
  <c r="L43" i="3" s="1"/>
  <c r="J74" i="3" s="1"/>
  <c r="I38" i="3"/>
  <c r="I45" i="3"/>
  <c r="L46" i="3" s="1"/>
  <c r="J77" i="3" s="1"/>
  <c r="I41" i="3"/>
  <c r="I37" i="3"/>
  <c r="L38" i="3" s="1"/>
  <c r="J69" i="3" s="1"/>
  <c r="I39" i="3"/>
  <c r="I44" i="3"/>
  <c r="L45" i="3" s="1"/>
  <c r="J76" i="3" s="1"/>
  <c r="I40" i="3"/>
  <c r="H10" i="1"/>
  <c r="H197" i="1"/>
  <c r="H560" i="1"/>
  <c r="H117" i="1"/>
  <c r="H237" i="1"/>
  <c r="H338" i="1"/>
  <c r="H368" i="1"/>
  <c r="H282" i="1"/>
  <c r="H422" i="1"/>
  <c r="H114" i="1"/>
  <c r="H329" i="1"/>
  <c r="H982" i="1"/>
  <c r="H679" i="1"/>
  <c r="H879" i="1"/>
  <c r="H171" i="1"/>
  <c r="H165" i="1"/>
  <c r="H742" i="1"/>
  <c r="H576" i="1"/>
  <c r="H605" i="1"/>
  <c r="H753" i="1"/>
  <c r="H695" i="1"/>
  <c r="H922" i="1"/>
  <c r="H643" i="1"/>
  <c r="H42" i="1"/>
  <c r="H821" i="1"/>
  <c r="H967" i="1"/>
  <c r="H672" i="1"/>
  <c r="H140" i="1"/>
  <c r="H233" i="1"/>
  <c r="H144" i="1"/>
  <c r="H130" i="1"/>
  <c r="H671" i="1"/>
  <c r="H2" i="1"/>
  <c r="H93" i="1"/>
  <c r="H974" i="1"/>
  <c r="H656" i="1"/>
  <c r="H661" i="1"/>
  <c r="H710" i="1"/>
  <c r="H62" i="1"/>
  <c r="H523" i="1"/>
  <c r="H156" i="1"/>
  <c r="H122" i="1"/>
  <c r="H807" i="1"/>
  <c r="H251" i="1"/>
  <c r="H380" i="1"/>
  <c r="H963" i="1"/>
  <c r="H646" i="1"/>
  <c r="H193" i="1"/>
  <c r="H459" i="1"/>
  <c r="H402" i="1"/>
  <c r="H99" i="1"/>
  <c r="H364" i="1"/>
  <c r="H583" i="1"/>
  <c r="H597" i="1"/>
  <c r="H901" i="1"/>
  <c r="H455" i="1"/>
  <c r="H315" i="1"/>
  <c r="H352" i="1"/>
  <c r="H842" i="1"/>
  <c r="H125" i="1"/>
  <c r="H637" i="1"/>
  <c r="H169" i="1"/>
  <c r="H624" i="1"/>
  <c r="H460" i="1"/>
  <c r="H162" i="1"/>
  <c r="H505" i="1"/>
  <c r="H638" i="1"/>
  <c r="H658" i="1"/>
  <c r="H462" i="1"/>
  <c r="H378" i="1"/>
  <c r="H269" i="1"/>
  <c r="H704" i="1"/>
  <c r="H506" i="1"/>
  <c r="H794" i="1"/>
  <c r="H172" i="1"/>
  <c r="H819" i="1"/>
  <c r="H136" i="1"/>
  <c r="H215" i="1"/>
  <c r="H223" i="1"/>
  <c r="H293" i="1"/>
  <c r="H598" i="1"/>
  <c r="H499" i="1"/>
  <c r="H740" i="1"/>
  <c r="H119" i="1"/>
  <c r="H796" i="1"/>
  <c r="H97" i="1"/>
  <c r="H662" i="1"/>
  <c r="H313" i="1"/>
  <c r="H204" i="1"/>
  <c r="H83" i="1"/>
  <c r="H180" i="1"/>
  <c r="H942" i="1"/>
  <c r="H291" i="1"/>
  <c r="H157" i="1"/>
  <c r="H561" i="1"/>
  <c r="H756" i="1"/>
  <c r="H540" i="1"/>
  <c r="H994" i="1"/>
  <c r="H420" i="1"/>
  <c r="H302" i="1"/>
  <c r="H303" i="1"/>
  <c r="H952" i="1"/>
  <c r="H155" i="1"/>
  <c r="H959" i="1"/>
  <c r="H109" i="1"/>
  <c r="H911" i="1"/>
  <c r="H94" i="1"/>
  <c r="H604" i="1"/>
  <c r="H11" i="1"/>
  <c r="H682" i="1"/>
  <c r="H869" i="1"/>
  <c r="H972" i="1"/>
  <c r="H782" i="1"/>
  <c r="H606" i="1"/>
  <c r="H745" i="1"/>
  <c r="H923" i="1"/>
  <c r="H359" i="1"/>
  <c r="H764" i="1"/>
  <c r="H519" i="1"/>
  <c r="H85" i="1"/>
  <c r="H797" i="1"/>
  <c r="H131" i="1"/>
  <c r="H123" i="1"/>
  <c r="H379" i="1"/>
  <c r="H87" i="1"/>
  <c r="H202" i="1"/>
  <c r="H322" i="1"/>
  <c r="H369" i="1"/>
  <c r="H105" i="1"/>
  <c r="H529" i="1"/>
  <c r="H174" i="1"/>
  <c r="H91" i="1"/>
  <c r="H833" i="1"/>
  <c r="H510" i="1"/>
  <c r="H48" i="1"/>
  <c r="H388" i="1"/>
  <c r="H18" i="1"/>
  <c r="H904" i="1"/>
  <c r="H384" i="1"/>
  <c r="H989" i="1"/>
  <c r="H456" i="1"/>
  <c r="H916" i="1"/>
  <c r="H106" i="1"/>
  <c r="H771" i="1"/>
  <c r="H691" i="1"/>
  <c r="H52" i="1"/>
  <c r="H132" i="1"/>
  <c r="H324" i="1"/>
  <c r="H577" i="1"/>
  <c r="H551" i="1"/>
  <c r="H948" i="1"/>
  <c r="H772" i="1"/>
  <c r="H998" i="1"/>
  <c r="H468" i="1"/>
  <c r="H14" i="1"/>
  <c r="H5" i="1"/>
  <c r="H896" i="1"/>
  <c r="H544" i="1"/>
  <c r="H741" i="1"/>
  <c r="H413" i="1"/>
  <c r="H735" i="1"/>
  <c r="H26" i="1"/>
  <c r="H298" i="1"/>
  <c r="H909" i="1"/>
  <c r="H708" i="1"/>
  <c r="H53" i="1"/>
  <c r="H68" i="1"/>
  <c r="H410" i="1"/>
  <c r="H357" i="1"/>
  <c r="H146" i="1"/>
  <c r="H692" i="1"/>
  <c r="H205" i="1"/>
  <c r="H785" i="1"/>
  <c r="H234" i="1"/>
  <c r="H769" i="1"/>
  <c r="H321" i="1"/>
  <c r="H45" i="1"/>
  <c r="H845" i="1"/>
  <c r="H589" i="1"/>
  <c r="H118" i="1"/>
  <c r="H360" i="1"/>
  <c r="H178" i="1"/>
  <c r="H238" i="1"/>
  <c r="H181" i="1"/>
  <c r="H350" i="1"/>
  <c r="H182" i="1"/>
  <c r="H689" i="1"/>
  <c r="H63" i="1"/>
  <c r="H897" i="1"/>
  <c r="H555" i="1"/>
  <c r="H862" i="1"/>
  <c r="H810" i="1"/>
  <c r="H628" i="1"/>
  <c r="H883" i="1"/>
  <c r="H754" i="1"/>
  <c r="H990" i="1"/>
  <c r="H423" i="1"/>
  <c r="H481" i="1"/>
  <c r="H653" i="1"/>
  <c r="H472" i="1"/>
  <c r="H565" i="1"/>
  <c r="H434" i="1"/>
  <c r="H644" i="1"/>
  <c r="H940" i="1"/>
  <c r="H416" i="1"/>
  <c r="H848" i="1"/>
  <c r="H732" i="1"/>
  <c r="H902" i="1"/>
  <c r="H748" i="1"/>
  <c r="H530" i="1"/>
  <c r="H657" i="1"/>
  <c r="H531" i="1"/>
  <c r="H876" i="1"/>
  <c r="H943" i="1"/>
  <c r="H219" i="1"/>
  <c r="H373" i="1"/>
  <c r="H795" i="1"/>
  <c r="H74" i="1"/>
  <c r="H353" i="1"/>
  <c r="H800" i="1"/>
  <c r="H335" i="1"/>
  <c r="H13" i="1"/>
  <c r="H485" i="1"/>
  <c r="H686" i="1"/>
  <c r="H126" i="1"/>
  <c r="H8" i="1"/>
  <c r="H925" i="1"/>
  <c r="H194" i="1"/>
  <c r="H874" i="1"/>
  <c r="H734" i="1"/>
  <c r="H835" i="1"/>
  <c r="H650" i="1"/>
  <c r="H300" i="1"/>
  <c r="H588" i="1"/>
  <c r="H49" i="1"/>
  <c r="H639" i="1"/>
  <c r="H279" i="1"/>
  <c r="H451" i="1"/>
  <c r="H924" i="1"/>
  <c r="H492" i="1"/>
  <c r="H610" i="1"/>
  <c r="H195" i="1"/>
  <c r="H342" i="1"/>
  <c r="H780" i="1"/>
  <c r="H183" i="1"/>
  <c r="H225" i="1"/>
  <c r="H816" i="1"/>
  <c r="H3" i="1"/>
  <c r="H153" i="1"/>
  <c r="H932" i="1"/>
  <c r="H482" i="1"/>
  <c r="H803" i="1"/>
  <c r="H224" i="1"/>
  <c r="H743" i="1"/>
  <c r="H391" i="1"/>
  <c r="H961" i="1"/>
  <c r="H986" i="1"/>
  <c r="H20" i="1"/>
  <c r="H393" i="1"/>
  <c r="H931" i="1"/>
  <c r="H277" i="1"/>
  <c r="H25" i="1"/>
  <c r="H270" i="1"/>
  <c r="H919" i="1"/>
  <c r="H863" i="1"/>
  <c r="H484" i="1"/>
  <c r="H479" i="1"/>
  <c r="H884" i="1"/>
  <c r="H497" i="1"/>
  <c r="H804" i="1"/>
  <c r="H620" i="1"/>
  <c r="H875" i="1"/>
  <c r="H158" i="1"/>
  <c r="H847" i="1"/>
  <c r="H474" i="1"/>
  <c r="H365" i="1"/>
  <c r="H504" i="1"/>
  <c r="H563" i="1"/>
  <c r="H674" i="1"/>
  <c r="H220" i="1"/>
  <c r="H853" i="1"/>
  <c r="H799" i="1"/>
  <c r="H746" i="1"/>
  <c r="H445" i="1"/>
  <c r="H483" i="1"/>
  <c r="H831" i="1"/>
  <c r="H524" i="1"/>
  <c r="H354" i="1"/>
  <c r="H405" i="1"/>
  <c r="H439" i="1"/>
  <c r="H267" i="1"/>
  <c r="H12" i="1"/>
  <c r="H570" i="1"/>
  <c r="H133" i="1"/>
  <c r="H611" i="1"/>
  <c r="H836" i="1"/>
  <c r="H214" i="1"/>
  <c r="H866" i="1"/>
  <c r="H80" i="1"/>
  <c r="H150" i="1"/>
  <c r="H602" i="1"/>
  <c r="H446" i="1"/>
  <c r="H443" i="1"/>
  <c r="H888" i="1"/>
  <c r="H773" i="1"/>
  <c r="H988" i="1"/>
  <c r="H915" i="1"/>
  <c r="H625" i="1"/>
  <c r="H43" i="1"/>
  <c r="H837" i="1"/>
  <c r="H231" i="1"/>
  <c r="H946" i="1"/>
  <c r="H235" i="1"/>
  <c r="H343" i="1"/>
  <c r="H733" i="1"/>
  <c r="H889" i="1"/>
  <c r="H170" i="1"/>
  <c r="H69" i="1"/>
  <c r="H307" i="1"/>
  <c r="H926" i="1"/>
  <c r="H843" i="1"/>
  <c r="H585" i="1"/>
  <c r="H285" i="1"/>
  <c r="H811" i="1"/>
  <c r="H659" i="1"/>
  <c r="H725" i="1"/>
  <c r="H27" i="1"/>
  <c r="H898" i="1"/>
  <c r="H955" i="1"/>
  <c r="H435" i="1"/>
  <c r="H702" i="1"/>
  <c r="H358" i="1"/>
  <c r="H622" i="1"/>
  <c r="H254" i="1"/>
  <c r="H805" i="1"/>
  <c r="H651" i="1"/>
  <c r="H161" i="1"/>
  <c r="H612" i="1"/>
  <c r="H436" i="1"/>
  <c r="H385" i="1"/>
  <c r="H305" i="1"/>
  <c r="H864" i="1"/>
  <c r="H762" i="1"/>
  <c r="H751" i="1"/>
  <c r="H913" i="1"/>
  <c r="H196" i="1"/>
  <c r="H259" i="1"/>
  <c r="H351" i="1"/>
  <c r="H325" i="1"/>
  <c r="H995" i="1"/>
  <c r="H28" i="1"/>
  <c r="H255" i="1"/>
  <c r="H929" i="1"/>
  <c r="H394" i="1"/>
  <c r="H256" i="1"/>
  <c r="H88" i="1"/>
  <c r="H488" i="1"/>
  <c r="H975" i="1"/>
  <c r="H209" i="1"/>
  <c r="H613" i="1"/>
  <c r="H159" i="1"/>
  <c r="H905" i="1"/>
  <c r="H440" i="1"/>
  <c r="H424" i="1"/>
  <c r="H120" i="1"/>
  <c r="H936" i="1"/>
  <c r="H21" i="1"/>
  <c r="H386" i="1"/>
  <c r="H806" i="1"/>
  <c r="H218" i="1"/>
  <c r="H44" i="1"/>
  <c r="H520" i="1"/>
  <c r="H453" i="1"/>
  <c r="H545" i="1"/>
  <c r="H592" i="1"/>
  <c r="H331" i="1"/>
  <c r="H227" i="1"/>
  <c r="H890" i="1"/>
  <c r="H318" i="1"/>
  <c r="H899" i="1"/>
  <c r="H891" i="1"/>
  <c r="H973" i="1"/>
  <c r="H677" i="1"/>
  <c r="H533" i="1"/>
  <c r="H489" i="1"/>
  <c r="H216" i="1"/>
  <c r="H206" i="1"/>
  <c r="H173" i="1"/>
  <c r="H870" i="1"/>
  <c r="H567" i="1"/>
  <c r="H95" i="1"/>
  <c r="H54" i="1"/>
  <c r="H680" i="1"/>
  <c r="H447" i="1"/>
  <c r="H450" i="1"/>
  <c r="H609" i="1"/>
  <c r="H885" i="1"/>
  <c r="H607" i="1"/>
  <c r="H521" i="1"/>
  <c r="H895" i="1"/>
  <c r="H623" i="1"/>
  <c r="H288" i="1"/>
  <c r="H4" i="1"/>
  <c r="H822" i="1"/>
  <c r="H556" i="1"/>
  <c r="H938" i="1"/>
  <c r="H635" i="1"/>
  <c r="H463" i="1"/>
  <c r="H221" i="1"/>
  <c r="H312" i="1"/>
  <c r="H642" i="1"/>
  <c r="H470" i="1"/>
  <c r="H191" i="1"/>
  <c r="H949" i="1"/>
  <c r="H838" i="1"/>
  <c r="H375" i="1"/>
  <c r="H786" i="1"/>
  <c r="H867" i="1"/>
  <c r="H127" i="1"/>
  <c r="H578" i="1"/>
  <c r="H319" i="1"/>
  <c r="H694" i="1"/>
  <c r="H618" i="1"/>
  <c r="H522" i="1"/>
  <c r="H779" i="1"/>
  <c r="H917" i="1"/>
  <c r="H286" i="1"/>
  <c r="H289" i="1"/>
  <c r="H944" i="1"/>
  <c r="H46" i="1"/>
  <c r="H287" i="1"/>
  <c r="H728" i="1"/>
  <c r="H262" i="1"/>
  <c r="H283" i="1"/>
  <c r="H425" i="1"/>
  <c r="H115" i="1"/>
  <c r="H941" i="1"/>
  <c r="H950" i="1"/>
  <c r="H253" i="1"/>
  <c r="H687" i="1"/>
  <c r="H92" i="1"/>
  <c r="H141" i="1"/>
  <c r="H543" i="1"/>
  <c r="H983" i="1"/>
  <c r="H243" i="1"/>
  <c r="H908" i="1"/>
  <c r="H513" i="1"/>
  <c r="H696" i="1"/>
  <c r="H116" i="1"/>
  <c r="H541" i="1"/>
  <c r="H817" i="1"/>
  <c r="H494" i="1"/>
  <c r="H228" i="1"/>
  <c r="H323" i="1"/>
  <c r="H640" i="1"/>
  <c r="H475" i="1"/>
  <c r="H60" i="1"/>
  <c r="H956" i="1"/>
  <c r="H426" i="1"/>
  <c r="H458" i="1"/>
  <c r="H631" i="1"/>
  <c r="H699" i="1"/>
  <c r="H430" i="1"/>
  <c r="H232" i="1"/>
  <c r="H627" i="1"/>
  <c r="H37" i="1"/>
  <c r="H36" i="1"/>
  <c r="H856" i="1"/>
  <c r="H557" i="1"/>
  <c r="H280" i="1"/>
  <c r="H301" i="1"/>
  <c r="H731" i="1"/>
  <c r="H184" i="1"/>
  <c r="H187" i="1"/>
  <c r="H333" i="1"/>
  <c r="H969" i="1"/>
  <c r="H921" i="1"/>
  <c r="H398" i="1"/>
  <c r="H102" i="1"/>
  <c r="H920" i="1"/>
  <c r="H673" i="1"/>
  <c r="H264" i="1"/>
  <c r="H571" i="1"/>
  <c r="H148" i="1"/>
  <c r="H103" i="1"/>
  <c r="H697" i="1"/>
  <c r="H284" i="1"/>
  <c r="H586" i="1"/>
  <c r="H525" i="1"/>
  <c r="H19" i="1"/>
  <c r="H471" i="1"/>
  <c r="H654" i="1"/>
  <c r="H495" i="1"/>
  <c r="H100" i="1"/>
  <c r="H370" i="1"/>
  <c r="H355" i="1"/>
  <c r="H844" i="1"/>
  <c r="H96" i="1"/>
  <c r="H878" i="1"/>
  <c r="H871" i="1"/>
  <c r="H399" i="1"/>
  <c r="H619" i="1"/>
  <c r="H160" i="1"/>
  <c r="H149" i="1"/>
  <c r="H134" i="1"/>
  <c r="H432" i="1"/>
  <c r="H199" i="1"/>
  <c r="H715" i="1"/>
  <c r="H665" i="1"/>
  <c r="H726" i="1"/>
  <c r="H268" i="1"/>
  <c r="H290" i="1"/>
  <c r="H688" i="1"/>
  <c r="H15" i="1"/>
  <c r="H500" i="1"/>
  <c r="H962" i="1"/>
  <c r="H246" i="1"/>
  <c r="H145" i="1"/>
  <c r="H241" i="1"/>
  <c r="H903" i="1"/>
  <c r="H573" i="1"/>
  <c r="H801" i="1"/>
  <c r="H427" i="1"/>
  <c r="H999" i="1"/>
  <c r="H138" i="1"/>
  <c r="H747" i="1"/>
  <c r="H763" i="1"/>
  <c r="H579" i="1"/>
  <c r="H690" i="1"/>
  <c r="H198" i="1"/>
  <c r="H593" i="1"/>
  <c r="H781" i="1"/>
  <c r="H395" i="1"/>
  <c r="H387" i="1"/>
  <c r="H344" i="1"/>
  <c r="H98" i="1"/>
  <c r="H727" i="1"/>
  <c r="H736" i="1"/>
  <c r="H549" i="1"/>
  <c r="H419" i="1"/>
  <c r="H859" i="1"/>
  <c r="H258" i="1"/>
  <c r="H910" i="1"/>
  <c r="H107" i="1"/>
  <c r="H207" i="1"/>
  <c r="H189" i="1"/>
  <c r="H317" i="1"/>
  <c r="H774" i="1"/>
  <c r="H758" i="1"/>
  <c r="H809" i="1"/>
  <c r="H367" i="1"/>
  <c r="H421" i="1"/>
  <c r="H538" i="1"/>
  <c r="H310" i="1"/>
  <c r="H417" i="1"/>
  <c r="H363" i="1"/>
  <c r="H720" i="1"/>
  <c r="H9" i="1"/>
  <c r="H951" i="1"/>
  <c r="H652" i="1"/>
  <c r="H55" i="1"/>
  <c r="H179" i="1"/>
  <c r="H880" i="1"/>
  <c r="H128" i="1"/>
  <c r="H239" i="1"/>
  <c r="H208" i="1"/>
  <c r="H81" i="1"/>
  <c r="H534" i="1"/>
  <c r="H79" i="1"/>
  <c r="H64" i="1"/>
  <c r="H31" i="1"/>
  <c r="H968" i="1"/>
  <c r="H248" i="1"/>
  <c r="H568" i="1"/>
  <c r="H854" i="1"/>
  <c r="H865" i="1"/>
  <c r="H906" i="1"/>
  <c r="H514" i="1"/>
  <c r="H50" i="1"/>
  <c r="H431" i="1"/>
  <c r="H927" i="1"/>
  <c r="H271" i="1"/>
  <c r="H881" i="1"/>
  <c r="H403" i="1"/>
  <c r="H668" i="1"/>
  <c r="H976" i="1"/>
  <c r="H599" i="1"/>
  <c r="H698" i="1"/>
  <c r="H912" i="1"/>
  <c r="H814" i="1"/>
  <c r="H840" i="1"/>
  <c r="H210" i="1"/>
  <c r="H546" i="1"/>
  <c r="H991" i="1"/>
  <c r="H441" i="1"/>
  <c r="H558" i="1"/>
  <c r="H56" i="1"/>
  <c r="H245" i="1"/>
  <c r="H448" i="1"/>
  <c r="H22" i="1"/>
  <c r="H744" i="1"/>
  <c r="H965" i="1"/>
  <c r="H185" i="1"/>
  <c r="H294" i="1"/>
  <c r="H348" i="1"/>
  <c r="H465" i="1"/>
  <c r="H163" i="1"/>
  <c r="H104" i="1"/>
  <c r="H900" i="1"/>
  <c r="H945" i="1"/>
  <c r="H608" i="1"/>
  <c r="H121" i="1"/>
  <c r="H469" i="1"/>
  <c r="H437" i="1"/>
  <c r="H802" i="1"/>
  <c r="H244" i="1"/>
  <c r="H684" i="1"/>
  <c r="H376" i="1"/>
  <c r="H716" i="1"/>
  <c r="H738" i="1"/>
  <c r="H552" i="1"/>
  <c r="H705" i="1"/>
  <c r="H311" i="1"/>
  <c r="H252" i="1"/>
  <c r="H663" i="1"/>
  <c r="H729" i="1"/>
  <c r="H124" i="1"/>
  <c r="H449" i="1"/>
  <c r="H32" i="1"/>
  <c r="H918" i="1"/>
  <c r="H330" i="1"/>
  <c r="H110" i="1"/>
  <c r="H892" i="1"/>
  <c r="H82" i="1"/>
  <c r="H47" i="1"/>
  <c r="H70" i="1"/>
  <c r="H212" i="1"/>
  <c r="H723" i="1"/>
  <c r="H356" i="1"/>
  <c r="H176" i="1"/>
  <c r="H278" i="1"/>
  <c r="H641" i="1"/>
  <c r="H703" i="1"/>
  <c r="H168" i="1"/>
  <c r="H765" i="1"/>
  <c r="H415" i="1"/>
  <c r="H886" i="1"/>
  <c r="H84" i="1"/>
  <c r="H33" i="1"/>
  <c r="H501" i="1"/>
  <c r="H824" i="1"/>
  <c r="H721" i="1"/>
  <c r="H24" i="1"/>
  <c r="H476" i="1"/>
  <c r="H858" i="1"/>
  <c r="H326" i="1"/>
  <c r="H511" i="1"/>
  <c r="H939" i="1"/>
  <c r="H137" i="1"/>
  <c r="H709" i="1"/>
  <c r="H562" i="1"/>
  <c r="H309" i="1"/>
  <c r="H787" i="1"/>
  <c r="H683" i="1"/>
  <c r="H151" i="1"/>
  <c r="H404" i="1"/>
  <c r="H933" i="1"/>
  <c r="H827" i="1"/>
  <c r="H711" i="1"/>
  <c r="H789" i="1"/>
  <c r="H89" i="1"/>
  <c r="H433" i="1"/>
  <c r="H29" i="1"/>
  <c r="H600" i="1"/>
  <c r="H147" i="1"/>
  <c r="H381" i="1"/>
  <c r="H587" i="1"/>
  <c r="H507" i="1"/>
  <c r="H907" i="1"/>
  <c r="H755" i="1"/>
  <c r="H222" i="1"/>
  <c r="H980" i="1"/>
  <c r="H724" i="1"/>
  <c r="H700" i="1"/>
  <c r="H861" i="1"/>
  <c r="H336" i="1"/>
  <c r="H559" i="1"/>
  <c r="H603" i="1"/>
  <c r="H655" i="1"/>
  <c r="H713" i="1"/>
  <c r="H887" i="1"/>
  <c r="H411" i="1"/>
  <c r="H775" i="1"/>
  <c r="H260" i="1"/>
  <c r="H247" i="1"/>
  <c r="H894" i="1"/>
  <c r="H296" i="1"/>
  <c r="H164" i="1"/>
  <c r="H213" i="1"/>
  <c r="H276" i="1"/>
  <c r="H292" i="1"/>
  <c r="H550" i="1"/>
  <c r="H71" i="1"/>
  <c r="H776" i="1"/>
  <c r="H722" i="1"/>
  <c r="H749" i="1"/>
  <c r="H526" i="1"/>
  <c r="H594" i="1"/>
  <c r="H263" i="1"/>
  <c r="H30" i="1"/>
  <c r="H718" i="1"/>
  <c r="H629" i="1"/>
  <c r="H177" i="1"/>
  <c r="H664" i="1"/>
  <c r="H467" i="1"/>
  <c r="H273" i="1"/>
  <c r="H798" i="1"/>
  <c r="H615" i="1"/>
  <c r="H382" i="1"/>
  <c r="H229" i="1"/>
  <c r="H414" i="1"/>
  <c r="H617" i="1"/>
  <c r="H877" i="1"/>
  <c r="H72" i="1"/>
  <c r="H57" i="1"/>
  <c r="H701" i="1"/>
  <c r="H477" i="1"/>
  <c r="H377" i="1"/>
  <c r="H996" i="1"/>
  <c r="H409" i="1"/>
  <c r="H647" i="1"/>
  <c r="H371" i="1"/>
  <c r="H566" i="1"/>
  <c r="H400" i="1"/>
  <c r="H539" i="1"/>
  <c r="H512" i="1"/>
  <c r="H584" i="1"/>
  <c r="H841" i="1"/>
  <c r="H984" i="1"/>
  <c r="H6" i="1"/>
  <c r="H632" i="1"/>
  <c r="H230" i="1"/>
  <c r="H564" i="1"/>
  <c r="H957" i="1"/>
  <c r="H490" i="1"/>
  <c r="H240" i="1"/>
  <c r="H442" i="1"/>
  <c r="H947" i="1"/>
  <c r="H636" i="1"/>
  <c r="H851" i="1"/>
  <c r="H596" i="1"/>
  <c r="H515" i="1"/>
  <c r="H226" i="1"/>
  <c r="H295" i="1"/>
  <c r="H111" i="1"/>
  <c r="H572" i="1"/>
  <c r="H648" i="1"/>
  <c r="H480" i="1"/>
  <c r="H454" i="1"/>
  <c r="H516" i="1"/>
  <c r="H23" i="1"/>
  <c r="H112" i="1"/>
  <c r="H345" i="1"/>
  <c r="H249" i="1"/>
  <c r="H820" i="1"/>
  <c r="H828" i="1"/>
  <c r="H849" i="1"/>
  <c r="H937" i="1"/>
  <c r="H839" i="1"/>
  <c r="H466" i="1"/>
  <c r="H374" i="1"/>
  <c r="H719" i="1"/>
  <c r="H554" i="1"/>
  <c r="H502" i="1"/>
  <c r="H175" i="1"/>
  <c r="H346" i="1"/>
  <c r="H332" i="1"/>
  <c r="H737" i="1"/>
  <c r="H392" i="1"/>
  <c r="H752" i="1"/>
  <c r="H101" i="1"/>
  <c r="H90" i="1"/>
  <c r="H985" i="1"/>
  <c r="H759" i="1"/>
  <c r="H166" i="1"/>
  <c r="H38" i="1"/>
  <c r="H834" i="1"/>
  <c r="H714" i="1"/>
  <c r="H621" i="1"/>
  <c r="H987" i="1"/>
  <c r="H113" i="1"/>
  <c r="H236" i="1"/>
  <c r="H327" i="1"/>
  <c r="H7" i="1"/>
  <c r="H261" i="1"/>
  <c r="H200" i="1"/>
  <c r="H152" i="1"/>
  <c r="H498" i="1"/>
  <c r="H846" i="1"/>
  <c r="H537" i="1"/>
  <c r="H882" i="1"/>
  <c r="H401" i="1"/>
  <c r="H893" i="1"/>
  <c r="H486" i="1"/>
  <c r="H914" i="1"/>
  <c r="H793" i="1"/>
  <c r="H930" i="1"/>
  <c r="H304" i="1"/>
  <c r="H503" i="1"/>
  <c r="H274" i="1"/>
  <c r="H760" i="1"/>
  <c r="H681" i="1"/>
  <c r="H75" i="1"/>
  <c r="H788" i="1"/>
  <c r="H396" i="1"/>
  <c r="H591" i="1"/>
  <c r="H347" i="1"/>
  <c r="H203" i="1"/>
  <c r="H67" i="1"/>
  <c r="H496" i="1"/>
  <c r="H383" i="1"/>
  <c r="H281" i="1"/>
  <c r="H868" i="1"/>
  <c r="H667" i="1"/>
  <c r="H65" i="1"/>
  <c r="H473" i="1"/>
  <c r="H981" i="1"/>
  <c r="H860" i="1"/>
  <c r="H188" i="1"/>
  <c r="H76" i="1"/>
  <c r="H452" i="1"/>
  <c r="H339" i="1"/>
  <c r="H478" i="1"/>
  <c r="H527" i="1"/>
  <c r="H190" i="1"/>
  <c r="H997" i="1"/>
  <c r="H487" i="1"/>
  <c r="H823" i="1"/>
  <c r="H77" i="1"/>
  <c r="H78" i="1"/>
  <c r="H438" i="1"/>
  <c r="H397" i="1"/>
  <c r="H328" i="1"/>
  <c r="H242" i="1"/>
  <c r="H509" i="1"/>
  <c r="H272" i="1"/>
  <c r="H154" i="1"/>
  <c r="H532" i="1"/>
  <c r="H829" i="1"/>
  <c r="H830" i="1"/>
  <c r="H971" i="1"/>
  <c r="H547" i="1"/>
  <c r="H812" i="1"/>
  <c r="H518" i="1"/>
  <c r="H992" i="1"/>
  <c r="H275" i="1"/>
  <c r="H535" i="1"/>
  <c r="H297" i="1"/>
  <c r="H953" i="1"/>
  <c r="H626" i="1"/>
  <c r="H1000" i="1"/>
  <c r="H16" i="1"/>
  <c r="H217" i="1"/>
  <c r="H813" i="1"/>
  <c r="H59" i="1"/>
  <c r="H783" i="1"/>
  <c r="H630" i="1"/>
  <c r="H590" i="1"/>
  <c r="H960" i="1"/>
  <c r="H548" i="1"/>
  <c r="H645" i="1"/>
  <c r="H958" i="1"/>
  <c r="H808" i="1"/>
  <c r="H139" i="1"/>
  <c r="H536" i="1"/>
  <c r="H390" i="1"/>
  <c r="H855" i="1"/>
  <c r="H766" i="1"/>
  <c r="H444" i="1"/>
  <c r="H340" i="1"/>
  <c r="H770" i="1"/>
  <c r="H86" i="1"/>
  <c r="H954" i="1"/>
  <c r="H186" i="1"/>
  <c r="H361" i="1"/>
  <c r="H34" i="1"/>
  <c r="H542" i="1"/>
  <c r="H337" i="1"/>
  <c r="H1001" i="1"/>
  <c r="H660" i="1"/>
  <c r="H553" i="1"/>
  <c r="H964" i="1"/>
  <c r="H493" i="1"/>
  <c r="H685" i="1"/>
  <c r="H616" i="1"/>
  <c r="H669" i="1"/>
  <c r="H852" i="1"/>
  <c r="H362" i="1"/>
  <c r="H341" i="1"/>
  <c r="H614" i="1"/>
  <c r="H832" i="1"/>
  <c r="H508" i="1"/>
  <c r="H334" i="1"/>
  <c r="H66" i="1"/>
  <c r="H418" i="1"/>
  <c r="H306" i="1"/>
  <c r="H707" i="1"/>
  <c r="H372" i="1"/>
  <c r="H491" i="1"/>
  <c r="H299" i="1"/>
  <c r="H35" i="1"/>
  <c r="H767" i="1"/>
  <c r="H601" i="1"/>
  <c r="H40" i="1"/>
  <c r="H693" i="1"/>
  <c r="H201" i="1"/>
  <c r="H320" i="1"/>
  <c r="H461" i="1"/>
  <c r="H406" i="1"/>
  <c r="H978" i="1"/>
  <c r="H428" i="1"/>
  <c r="H966" i="1"/>
  <c r="H349" i="1"/>
  <c r="H574" i="1"/>
  <c r="H678" i="1"/>
  <c r="H17" i="1"/>
  <c r="H58" i="1"/>
  <c r="H61" i="1"/>
  <c r="H928" i="1"/>
  <c r="H135" i="1"/>
  <c r="H675" i="1"/>
  <c r="H825" i="1"/>
  <c r="H790" i="1"/>
  <c r="H706" i="1"/>
  <c r="H633" i="1"/>
  <c r="H429" i="1"/>
  <c r="H750" i="1"/>
  <c r="H167" i="1"/>
  <c r="H595" i="1"/>
  <c r="H712" i="1"/>
  <c r="H73" i="1"/>
  <c r="H407" i="1"/>
  <c r="H257" i="1"/>
  <c r="H129" i="1"/>
  <c r="H211" i="1"/>
  <c r="H979" i="1"/>
  <c r="H142" i="1"/>
  <c r="H41" i="1"/>
  <c r="H676" i="1"/>
  <c r="H791" i="1"/>
  <c r="H575" i="1"/>
  <c r="H649" i="1"/>
  <c r="H872" i="1"/>
  <c r="H39" i="1"/>
  <c r="H457" i="1"/>
  <c r="H143" i="1"/>
  <c r="H935" i="1"/>
  <c r="H666" i="1"/>
  <c r="H581" i="1"/>
  <c r="H739" i="1"/>
  <c r="H389" i="1"/>
  <c r="H826" i="1"/>
  <c r="H777" i="1"/>
  <c r="H265" i="1"/>
  <c r="H266" i="1"/>
  <c r="H768" i="1"/>
  <c r="H408" i="1"/>
  <c r="H717" i="1"/>
  <c r="H316" i="1"/>
  <c r="H792" i="1"/>
  <c r="H850" i="1"/>
  <c r="H108" i="1"/>
  <c r="H634" i="1"/>
  <c r="H934" i="1"/>
  <c r="H873" i="1"/>
  <c r="H464" i="1"/>
  <c r="H757" i="1"/>
  <c r="H857" i="1"/>
  <c r="H51" i="1"/>
  <c r="H977" i="1"/>
  <c r="H818" i="1"/>
  <c r="H308" i="1"/>
  <c r="H582" i="1"/>
  <c r="H528" i="1"/>
  <c r="H993" i="1"/>
  <c r="H784" i="1"/>
  <c r="H569" i="1"/>
  <c r="H815" i="1"/>
  <c r="H778" i="1"/>
  <c r="H250" i="1"/>
  <c r="H314" i="1"/>
  <c r="H670" i="1"/>
  <c r="H412" i="1"/>
  <c r="H366" i="1"/>
  <c r="H761" i="1"/>
  <c r="H970" i="1"/>
  <c r="H730" i="1"/>
  <c r="H192" i="1"/>
  <c r="H580" i="1"/>
  <c r="H517" i="1"/>
  <c r="L41" i="3" l="1"/>
  <c r="J72" i="3" s="1"/>
  <c r="L42" i="3"/>
  <c r="J73" i="3" s="1"/>
  <c r="L47" i="3"/>
  <c r="J78" i="3" s="1"/>
  <c r="L40" i="3"/>
  <c r="J71" i="3" s="1"/>
  <c r="L39" i="3"/>
  <c r="J70" i="3" s="1"/>
  <c r="B7" i="3"/>
  <c r="B16" i="3" l="1"/>
  <c r="C16" i="3" s="1"/>
  <c r="C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6" background="1">
    <dbPr connection="Provider=Microsoft.Mashup.OleDb.1;Data Source=$Workbook$;Location=Table1;Extended Properties=&quot;&quot;" command="SELECT * FROM [Table1]"/>
  </connection>
  <connection id="2" xr16:uid="{65FA29F3-8864-4C3F-B5E8-C0E952C337E6}"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F158ED2-9163-4D0C-9809-393ADD9BF900}" name="WorksheetConnection_AzeriMed_Sales_Data_1000_original_Dashobard.xlsx!Data" type="102" refreshedVersion="6" minRefreshableVersion="5">
    <extLst>
      <ext xmlns:x15="http://schemas.microsoft.com/office/spreadsheetml/2010/11/main" uri="{DE250136-89BD-433C-8126-D09CA5730AF9}">
        <x15:connection id="Data" autoDelete="1">
          <x15:rangePr sourceName="_xlcn.WorksheetConnection_AzeriMed_Sales_Data_1000_original_Dashobard.xlsx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ata].[PurchaseCount].&amp;[2],[Data].[PurchaseCount].&amp;[3],[Data].[PurchaseCount].&amp;[4],[Data].[PurchaseCount].&amp;[5],[Data].[PurchaseCount].&amp;[6],[Data].[PurchaseCount].&amp;[7]}"/>
  </metadataStrings>
  <mdxMetadata count="1">
    <mdx n="0" f="s">
      <ms ns="1" c="0"/>
    </mdx>
  </mdxMetadata>
  <valueMetadata count="1">
    <bk>
      <rc t="1" v="0"/>
    </bk>
  </valueMetadata>
</metadata>
</file>

<file path=xl/sharedStrings.xml><?xml version="1.0" encoding="utf-8"?>
<sst xmlns="http://schemas.openxmlformats.org/spreadsheetml/2006/main" count="2177" uniqueCount="72">
  <si>
    <t>CustomerID</t>
  </si>
  <si>
    <t>OrderID</t>
  </si>
  <si>
    <t>OrderDate</t>
  </si>
  <si>
    <t>Amount</t>
  </si>
  <si>
    <t>Product</t>
  </si>
  <si>
    <t>Region</t>
  </si>
  <si>
    <t>Vitamin</t>
  </si>
  <si>
    <t>Shaki</t>
  </si>
  <si>
    <t>Antibiotic</t>
  </si>
  <si>
    <t>Antiseptic</t>
  </si>
  <si>
    <t>Baku</t>
  </si>
  <si>
    <t>Syringe</t>
  </si>
  <si>
    <t>Sumqayit</t>
  </si>
  <si>
    <t>Bandage</t>
  </si>
  <si>
    <t>Shirvan</t>
  </si>
  <si>
    <t>Allergy Medicine</t>
  </si>
  <si>
    <t>Ganja</t>
  </si>
  <si>
    <t>Analgesic</t>
  </si>
  <si>
    <t>Nakhchivan</t>
  </si>
  <si>
    <t>Lankaran</t>
  </si>
  <si>
    <t>Antiviral</t>
  </si>
  <si>
    <t>Total Sales</t>
  </si>
  <si>
    <t>Total Customers</t>
  </si>
  <si>
    <t>PurchaseCount</t>
  </si>
  <si>
    <t>Distinct Count of CustomerID</t>
  </si>
  <si>
    <t>(Multiple Items)</t>
  </si>
  <si>
    <t>Repeat Customers</t>
  </si>
  <si>
    <t>Repeat Rate</t>
  </si>
  <si>
    <t>Grand Total</t>
  </si>
  <si>
    <t>Year-Month</t>
  </si>
  <si>
    <t>Churn Rate</t>
  </si>
  <si>
    <r>
      <t>ActiveCustomers_prev</t>
    </r>
    <r>
      <rPr>
        <sz val="9"/>
        <color rgb="FFABB7CE"/>
        <rFont val="Arial"/>
        <family val="2"/>
      </rPr>
      <t> </t>
    </r>
  </si>
  <si>
    <t>Lost Customers</t>
  </si>
  <si>
    <t>Aylıq itirilən müştərilər</t>
  </si>
  <si>
    <t>2+ alış edən</t>
  </si>
  <si>
    <t>Returning Flag</t>
  </si>
  <si>
    <t>Sum of Returning Flag</t>
  </si>
  <si>
    <t>CustomerID UNIQUE</t>
  </si>
  <si>
    <t>Retention Rate</t>
  </si>
  <si>
    <t>ActiveCustomers_prev</t>
  </si>
  <si>
    <t>Recency</t>
  </si>
  <si>
    <t>Frequence</t>
  </si>
  <si>
    <t>Monetary</t>
  </si>
  <si>
    <t>Sum of Amount</t>
  </si>
  <si>
    <t>Total Amount</t>
  </si>
  <si>
    <t>Link</t>
  </si>
  <si>
    <t>Amount By Month</t>
  </si>
  <si>
    <t>Amount By Region</t>
  </si>
  <si>
    <t>Amount By Porduct</t>
  </si>
  <si>
    <t>Repeat Customers by Month</t>
  </si>
  <si>
    <t>Jan</t>
  </si>
  <si>
    <t>Feb</t>
  </si>
  <si>
    <t>Mar</t>
  </si>
  <si>
    <t>Apr</t>
  </si>
  <si>
    <t>May</t>
  </si>
  <si>
    <t>Jun</t>
  </si>
  <si>
    <t>Jul</t>
  </si>
  <si>
    <t>Aug</t>
  </si>
  <si>
    <t>Sep</t>
  </si>
  <si>
    <t>Oct</t>
  </si>
  <si>
    <t>Nov</t>
  </si>
  <si>
    <t>Dec</t>
  </si>
  <si>
    <t>2023</t>
  </si>
  <si>
    <t>2024</t>
  </si>
  <si>
    <t>Churn rate</t>
  </si>
  <si>
    <t>Chrun Rate</t>
  </si>
  <si>
    <t>Date</t>
  </si>
  <si>
    <t>Geri qayıdan müştərilər</t>
  </si>
  <si>
    <t>IF(COUNTIFS([CustomerID], [@CustomerID], [Year-Month], "&lt;" &amp;[@[Year-Month]])&gt;0, 1, 0)</t>
  </si>
  <si>
    <t>OrderYear</t>
  </si>
  <si>
    <t>OrderMonth</t>
  </si>
  <si>
    <t>COUNTIFS([CustomerID],[@CustomerID], [OrderYear],[@OrderYear],  [OrderMonth],[@OrderMonth])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</si>
</sst>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tint="-0.499984740745262"/>
      <name val="Calibri"/>
      <family val="2"/>
      <scheme val="minor"/>
    </font>
    <font>
      <b/>
      <sz val="11"/>
      <color theme="4" tint="-0.499984740745262"/>
      <name val="Calibri"/>
      <family val="2"/>
      <scheme val="minor"/>
    </font>
    <font>
      <sz val="9"/>
      <color rgb="FFABB7CE"/>
      <name val="Arial"/>
      <family val="2"/>
    </font>
    <font>
      <b/>
      <sz val="12"/>
      <color rgb="FF002060"/>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theme="4"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bottom style="thin">
        <color theme="4" tint="0.79998168889431442"/>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applyFill="0" applyBorder="0" applyAlignment="0"/>
    <xf numFmtId="0" fontId="1" fillId="0" borderId="0" applyFill="0" applyBorder="0"/>
  </cellStyleXfs>
  <cellXfs count="34">
    <xf numFmtId="0" fontId="0" fillId="0" borderId="0" xfId="0"/>
    <xf numFmtId="14" fontId="0" fillId="0" borderId="0" xfId="0" applyNumberFormat="1"/>
    <xf numFmtId="0" fontId="0" fillId="0" borderId="0" xfId="0" applyNumberFormat="1"/>
    <xf numFmtId="0" fontId="0" fillId="0" borderId="0" xfId="0" pivotButton="1"/>
    <xf numFmtId="0" fontId="16" fillId="0" borderId="0" xfId="0" applyFont="1" applyAlignment="1">
      <alignment horizontal="center" vertical="center"/>
    </xf>
    <xf numFmtId="10" fontId="16" fillId="0" borderId="0" xfId="42" applyNumberFormat="1" applyFont="1" applyAlignment="1">
      <alignment horizontal="center" vertical="center"/>
    </xf>
    <xf numFmtId="0" fontId="19" fillId="33" borderId="10" xfId="0" applyFont="1" applyFill="1" applyBorder="1" applyAlignment="1">
      <alignment horizontal="center"/>
    </xf>
    <xf numFmtId="0" fontId="0" fillId="0" borderId="0" xfId="0" applyAlignment="1">
      <alignment horizontal="left"/>
    </xf>
    <xf numFmtId="10" fontId="0" fillId="0" borderId="0" xfId="42" applyNumberFormat="1" applyFont="1"/>
    <xf numFmtId="10" fontId="0" fillId="0" borderId="0" xfId="0" applyNumberFormat="1"/>
    <xf numFmtId="0" fontId="0" fillId="0" borderId="0" xfId="0" applyAlignment="1">
      <alignment horizontal="center"/>
    </xf>
    <xf numFmtId="0" fontId="0" fillId="0" borderId="0" xfId="0" applyNumberFormat="1" applyAlignment="1">
      <alignment horizontal="center"/>
    </xf>
    <xf numFmtId="0" fontId="0" fillId="0" borderId="0" xfId="0" applyNumberFormat="1" applyAlignment="1">
      <alignment horizontal="center" vertical="center"/>
    </xf>
    <xf numFmtId="0" fontId="0" fillId="0" borderId="0" xfId="0" applyAlignment="1">
      <alignment horizontal="center" vertical="center"/>
    </xf>
    <xf numFmtId="0" fontId="17" fillId="9" borderId="0" xfId="18" applyAlignment="1">
      <alignment horizontal="center" vertical="center"/>
    </xf>
    <xf numFmtId="10" fontId="0" fillId="0" borderId="0" xfId="42" applyNumberFormat="1" applyFont="1" applyAlignment="1">
      <alignment horizontal="center" vertical="center"/>
    </xf>
    <xf numFmtId="1" fontId="0" fillId="0" borderId="0" xfId="42" applyNumberFormat="1" applyFont="1" applyAlignment="1">
      <alignment horizontal="center" vertical="center"/>
    </xf>
    <xf numFmtId="0" fontId="0" fillId="34" borderId="0" xfId="0" applyFill="1"/>
    <xf numFmtId="0" fontId="19" fillId="35" borderId="0" xfId="0" applyFont="1" applyFill="1" applyBorder="1" applyAlignment="1">
      <alignment horizontal="center"/>
    </xf>
    <xf numFmtId="0" fontId="0" fillId="0" borderId="0" xfId="0" applyFill="1" applyBorder="1"/>
    <xf numFmtId="0" fontId="18" fillId="35" borderId="11" xfId="0" applyNumberFormat="1" applyFont="1" applyFill="1" applyBorder="1" applyAlignment="1">
      <alignment horizontal="center"/>
    </xf>
    <xf numFmtId="1" fontId="0" fillId="0" borderId="0" xfId="0" applyNumberFormat="1"/>
    <xf numFmtId="2" fontId="0" fillId="0" borderId="0" xfId="0" applyNumberFormat="1"/>
    <xf numFmtId="2" fontId="0" fillId="0" borderId="0" xfId="0" quotePrefix="1" applyNumberFormat="1"/>
    <xf numFmtId="9" fontId="0" fillId="0" borderId="0" xfId="0" applyNumberFormat="1"/>
    <xf numFmtId="164" fontId="0" fillId="0" borderId="0" xfId="43" applyNumberFormat="1" applyFont="1" applyAlignment="1">
      <alignment vertical="center"/>
    </xf>
    <xf numFmtId="14" fontId="0" fillId="0" borderId="0" xfId="0" applyNumberFormat="1" applyAlignment="1">
      <alignment horizontal="left" indent="1"/>
    </xf>
    <xf numFmtId="0" fontId="0" fillId="0" borderId="0" xfId="0" applyAlignment="1">
      <alignment horizontal="left" indent="1"/>
    </xf>
    <xf numFmtId="0" fontId="19" fillId="33" borderId="0" xfId="0" applyFont="1" applyFill="1" applyBorder="1" applyAlignment="1">
      <alignment horizontal="center"/>
    </xf>
    <xf numFmtId="0" fontId="21" fillId="33" borderId="10" xfId="0" applyFont="1" applyFill="1" applyBorder="1" applyAlignment="1">
      <alignment horizontal="center"/>
    </xf>
    <xf numFmtId="0" fontId="21" fillId="33" borderId="0" xfId="0" applyFont="1" applyFill="1" applyBorder="1" applyAlignment="1">
      <alignment horizontal="center"/>
    </xf>
    <xf numFmtId="0" fontId="18" fillId="0" borderId="0" xfId="0" pivotButton="1" applyFont="1" applyAlignment="1">
      <alignment horizontal="center"/>
    </xf>
    <xf numFmtId="0" fontId="19" fillId="35" borderId="0" xfId="0" applyNumberFormat="1" applyFont="1" applyFill="1" applyBorder="1" applyAlignment="1" applyProtection="1">
      <alignment horizontal="center"/>
    </xf>
    <xf numFmtId="1" fontId="19" fillId="35" borderId="0" xfId="0" applyNumberFormat="1" applyFont="1" applyFill="1" applyBorder="1" applyAlignment="1" applyProtection="1">
      <alignment horizontal="center"/>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Style 1" xfId="44" xr:uid="{0745627A-6153-44DD-904E-A7EAF3423226}"/>
    <cellStyle name="Style 2" xfId="45" xr:uid="{4A64468D-3E2B-41F3-9943-63CB682B8E34}"/>
    <cellStyle name="Title" xfId="1" builtinId="15" customBuiltin="1"/>
    <cellStyle name="Total" xfId="17" builtinId="25" customBuiltin="1"/>
    <cellStyle name="Warning Text" xfId="14" builtinId="11" customBuiltin="1"/>
  </cellStyles>
  <dxfs count="79">
    <dxf>
      <alignment horizontal="center"/>
    </dxf>
    <dxf>
      <alignment horizontal="center"/>
    </dxf>
    <dxf>
      <numFmt numFmtId="1" formatCode="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bgColor auto="1"/>
        </patternFill>
      </fill>
    </dxf>
    <dxf>
      <fill>
        <patternFill>
          <bgColor auto="1"/>
        </patternFill>
      </fill>
    </dxf>
    <dxf>
      <fill>
        <patternFill>
          <bgColor auto="1"/>
        </patternFill>
      </fill>
    </dxf>
    <dxf>
      <alignment horizontal="center"/>
    </dxf>
    <dxf>
      <alignment horizontal="center"/>
    </dxf>
    <dxf>
      <alignment horizontal="center"/>
    </dxf>
    <dxf>
      <font>
        <b/>
        <color theme="4" tint="-0.499984740745262"/>
      </font>
      <fill>
        <patternFill patternType="solid">
          <fgColor indexed="64"/>
          <bgColor theme="4" tint="0.39997558519241921"/>
        </patternFill>
      </fill>
    </dxf>
    <dxf>
      <font>
        <b/>
        <color theme="4" tint="-0.499984740745262"/>
      </font>
      <fill>
        <patternFill patternType="solid">
          <fgColor indexed="64"/>
          <bgColor theme="4" tint="0.39997558519241921"/>
        </patternFill>
      </fill>
    </dxf>
    <dxf>
      <font>
        <b/>
        <color theme="4" tint="-0.499984740745262"/>
      </font>
      <fill>
        <patternFill patternType="solid">
          <fgColor indexed="64"/>
          <bgColor theme="4" tint="0.3999755851924192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bgColor auto="1"/>
        </patternFill>
      </fill>
    </dxf>
    <dxf>
      <fill>
        <patternFill>
          <bgColor auto="1"/>
        </patternFill>
      </fill>
    </dxf>
    <dxf>
      <fill>
        <patternFill>
          <bgColor auto="1"/>
        </patternFill>
      </fill>
    </dxf>
    <dxf>
      <alignment horizontal="center"/>
    </dxf>
    <dxf>
      <alignment horizontal="center"/>
    </dxf>
    <dxf>
      <alignment horizontal="center"/>
    </dxf>
    <dxf>
      <font>
        <b/>
        <color theme="4" tint="-0.499984740745262"/>
      </font>
      <fill>
        <patternFill patternType="solid">
          <fgColor indexed="64"/>
          <bgColor theme="4" tint="0.39997558519241921"/>
        </patternFill>
      </fill>
    </dxf>
    <dxf>
      <font>
        <b/>
        <color theme="4" tint="-0.499984740745262"/>
      </font>
      <fill>
        <patternFill patternType="solid">
          <fgColor indexed="64"/>
          <bgColor theme="4" tint="0.39997558519241921"/>
        </patternFill>
      </fill>
    </dxf>
    <dxf>
      <font>
        <b/>
        <color theme="4" tint="-0.499984740745262"/>
      </font>
      <fill>
        <patternFill patternType="solid">
          <fgColor indexed="64"/>
          <bgColor theme="4" tint="0.39997558519241921"/>
        </patternFill>
      </fill>
    </dxf>
    <dxf>
      <font>
        <b/>
      </font>
    </dxf>
    <dxf>
      <font>
        <b/>
      </font>
    </dxf>
    <dxf>
      <font>
        <b/>
      </font>
    </dxf>
    <dxf>
      <numFmt numFmtId="1" formatCode="0"/>
    </dxf>
    <dxf>
      <alignment horizontal="center"/>
    </dxf>
    <dxf>
      <alignment horizontal="center"/>
    </dxf>
    <dxf>
      <font>
        <color theme="4" tint="-0.499984740745262"/>
      </font>
      <alignment horizontal="center"/>
    </dxf>
    <dxf>
      <font>
        <color theme="4" tint="-0.499984740745262"/>
      </font>
      <alignment horizontal="center"/>
    </dxf>
    <dxf>
      <numFmt numFmtId="0" formatCode="General"/>
    </dxf>
    <dxf>
      <numFmt numFmtId="0" formatCode="General"/>
    </dxf>
    <dxf>
      <numFmt numFmtId="0" formatCode="General"/>
    </dxf>
    <dxf>
      <numFmt numFmtId="0" formatCode="General"/>
    </dxf>
    <dxf>
      <numFmt numFmtId="19" formatCode="dd/mm/yyyy"/>
    </dxf>
    <dxf>
      <numFmt numFmtId="19" formatCode="dd/mm/yyyy"/>
    </dxf>
    <dxf>
      <alignment horizontal="center"/>
    </dxf>
    <dxf>
      <numFmt numFmtId="1" formatCode="0"/>
    </dxf>
    <dxf>
      <font>
        <b/>
        <color theme="4" tint="-0.499984740745262"/>
      </font>
      <fill>
        <patternFill patternType="solid">
          <fgColor indexed="64"/>
          <bgColor theme="4" tint="0.39997558519241921"/>
        </patternFill>
      </fill>
    </dxf>
    <dxf>
      <font>
        <b/>
        <color theme="4" tint="-0.499984740745262"/>
      </font>
      <fill>
        <patternFill patternType="solid">
          <fgColor indexed="64"/>
          <bgColor theme="4" tint="0.39997558519241921"/>
        </patternFill>
      </fill>
    </dxf>
    <dxf>
      <font>
        <b/>
        <color theme="4" tint="-0.499984740745262"/>
      </font>
      <fill>
        <patternFill patternType="solid">
          <fgColor indexed="64"/>
          <bgColor theme="4" tint="0.39997558519241921"/>
        </patternFill>
      </fill>
    </dxf>
    <dxf>
      <alignment horizontal="center"/>
    </dxf>
    <dxf>
      <alignment horizontal="center"/>
    </dxf>
    <dxf>
      <alignment horizontal="center"/>
    </dxf>
    <dxf>
      <fill>
        <patternFill>
          <bgColor auto="1"/>
        </patternFill>
      </fill>
    </dxf>
    <dxf>
      <fill>
        <patternFill>
          <bgColor auto="1"/>
        </patternFill>
      </fill>
    </dxf>
    <dxf>
      <fill>
        <patternFill>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 formatCode="0"/>
    </dxf>
    <dxf>
      <font>
        <b/>
      </font>
    </dxf>
    <dxf>
      <font>
        <b/>
      </font>
    </dxf>
    <dxf>
      <font>
        <b/>
      </font>
    </dxf>
    <dxf>
      <font>
        <b/>
        <color theme="4" tint="-0.499984740745262"/>
      </font>
      <fill>
        <patternFill patternType="solid">
          <fgColor indexed="64"/>
          <bgColor theme="4" tint="0.39997558519241921"/>
        </patternFill>
      </fill>
    </dxf>
    <dxf>
      <font>
        <b/>
        <color theme="4" tint="-0.499984740745262"/>
      </font>
      <fill>
        <patternFill patternType="solid">
          <fgColor indexed="64"/>
          <bgColor theme="4" tint="0.39997558519241921"/>
        </patternFill>
      </fill>
    </dxf>
    <dxf>
      <font>
        <b/>
        <color theme="4" tint="-0.499984740745262"/>
      </font>
      <fill>
        <patternFill patternType="solid">
          <fgColor indexed="64"/>
          <bgColor theme="4" tint="0.39997558519241921"/>
        </patternFill>
      </fill>
    </dxf>
    <dxf>
      <alignment horizontal="center"/>
    </dxf>
    <dxf>
      <alignment horizontal="center"/>
    </dxf>
    <dxf>
      <alignment horizontal="center"/>
    </dxf>
    <dxf>
      <fill>
        <patternFill>
          <bgColor auto="1"/>
        </patternFill>
      </fill>
    </dxf>
    <dxf>
      <fill>
        <patternFill>
          <bgColor auto="1"/>
        </patternFill>
      </fill>
    </dxf>
    <dxf>
      <fill>
        <patternFill>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color theme="4" tint="-0.499984740745262"/>
      </font>
      <alignment horizontal="center"/>
    </dxf>
    <dxf>
      <font>
        <color theme="4" tint="-0.499984740745262"/>
      </font>
      <alignment horizontal="center"/>
    </dxf>
    <dxf>
      <alignment horizontal="center"/>
    </dxf>
    <dxf>
      <numFmt numFmtId="2" formatCode="0.00"/>
    </dxf>
    <dxf>
      <numFmt numFmtId="2" formatCode="0.00"/>
    </dxf>
    <dxf>
      <numFmt numFmtId="1" formatCode="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11/relationships/timelineCache" Target="timelineCaches/timeline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1" i="0" u="none" strike="noStrike" kern="1200" baseline="0">
              <a:solidFill>
                <a:schemeClr val="accent1">
                  <a:lumMod val="75000"/>
                </a:schemeClr>
              </a:solidFill>
              <a:latin typeface="Calibri" panose="020F0502020204030204"/>
              <a:ea typeface="Calibri" panose="020F0502020204030204" pitchFamily="34" charset="0"/>
              <a:cs typeface="Calibri" panose="020F0502020204030204" pitchFamily="34" charset="0"/>
            </a:defRPr>
          </a:pPr>
          <a:endParaRPr lang="en-US"/>
        </a:p>
      </c:txPr>
    </c:title>
    <c:autoTitleDeleted val="0"/>
    <c:plotArea>
      <c:layout/>
      <c:areaChart>
        <c:grouping val="standard"/>
        <c:varyColors val="0"/>
        <c:ser>
          <c:idx val="0"/>
          <c:order val="0"/>
          <c:tx>
            <c:strRef>
              <c:f>'Pivot Table Loyalty'!$L$35</c:f>
              <c:strCache>
                <c:ptCount val="1"/>
                <c:pt idx="0">
                  <c:v>Retention Rate</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dLbl>
              <c:idx val="0"/>
              <c:delete val="1"/>
              <c:extLst>
                <c:ext xmlns:c15="http://schemas.microsoft.com/office/drawing/2012/chart" uri="{CE6537A1-D6FC-4f65-9D91-7224C49458BB}"/>
                <c:ext xmlns:c16="http://schemas.microsoft.com/office/drawing/2014/chart" uri="{C3380CC4-5D6E-409C-BE32-E72D297353CC}">
                  <c16:uniqueId val="{00000002-860C-4BE5-93A7-A3CF84F85086}"/>
                </c:ext>
              </c:extLst>
            </c:dLbl>
            <c:dLbl>
              <c:idx val="13"/>
              <c:delete val="1"/>
              <c:extLst>
                <c:ext xmlns:c15="http://schemas.microsoft.com/office/drawing/2012/chart" uri="{CE6537A1-D6FC-4f65-9D91-7224C49458BB}"/>
                <c:ext xmlns:c16="http://schemas.microsoft.com/office/drawing/2014/chart" uri="{C3380CC4-5D6E-409C-BE32-E72D297353CC}">
                  <c16:uniqueId val="{00000001-860C-4BE5-93A7-A3CF84F85086}"/>
                </c:ext>
              </c:extLst>
            </c:dLbl>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Loyalty'!$K$36:$K$59</c:f>
              <c:strCache>
                <c:ptCount val="24"/>
                <c:pt idx="0">
                  <c:v>2023-Jan</c:v>
                </c:pt>
                <c:pt idx="1">
                  <c:v>2023-Feb</c:v>
                </c:pt>
                <c:pt idx="2">
                  <c:v>2023-Mar</c:v>
                </c:pt>
                <c:pt idx="3">
                  <c:v>2023-Apr</c:v>
                </c:pt>
                <c:pt idx="4">
                  <c:v>2023-May</c:v>
                </c:pt>
                <c:pt idx="5">
                  <c:v>2023-Jun</c:v>
                </c:pt>
                <c:pt idx="6">
                  <c:v>2023-Jul</c:v>
                </c:pt>
                <c:pt idx="7">
                  <c:v>2023-Aug</c:v>
                </c:pt>
                <c:pt idx="8">
                  <c:v>2023-Sep</c:v>
                </c:pt>
                <c:pt idx="9">
                  <c:v>2023-Oct</c:v>
                </c:pt>
                <c:pt idx="10">
                  <c:v>2023-Nov</c:v>
                </c:pt>
                <c:pt idx="11">
                  <c:v>2023-Dec</c:v>
                </c:pt>
                <c:pt idx="13">
                  <c:v>2024-Jan</c:v>
                </c:pt>
                <c:pt idx="14">
                  <c:v>2024-Feb</c:v>
                </c:pt>
                <c:pt idx="15">
                  <c:v>2024-Mar</c:v>
                </c:pt>
                <c:pt idx="16">
                  <c:v>2024-Apr</c:v>
                </c:pt>
                <c:pt idx="17">
                  <c:v>2024-May</c:v>
                </c:pt>
                <c:pt idx="18">
                  <c:v>2024-Jun</c:v>
                </c:pt>
                <c:pt idx="19">
                  <c:v>2024-Jul</c:v>
                </c:pt>
                <c:pt idx="20">
                  <c:v>2024-Aug</c:v>
                </c:pt>
                <c:pt idx="21">
                  <c:v>2024-Sep</c:v>
                </c:pt>
                <c:pt idx="22">
                  <c:v>2024-Oct</c:v>
                </c:pt>
                <c:pt idx="23">
                  <c:v>2024-Nov</c:v>
                </c:pt>
              </c:strCache>
            </c:strRef>
          </c:cat>
          <c:val>
            <c:numRef>
              <c:f>'Pivot Table Loyalty'!$L$36:$L$59</c:f>
              <c:numCache>
                <c:formatCode>0.00%</c:formatCode>
                <c:ptCount val="24"/>
                <c:pt idx="1">
                  <c:v>0</c:v>
                </c:pt>
                <c:pt idx="2">
                  <c:v>0.16666666666666666</c:v>
                </c:pt>
                <c:pt idx="3">
                  <c:v>0.15909090909090909</c:v>
                </c:pt>
                <c:pt idx="4">
                  <c:v>0.32608695652173914</c:v>
                </c:pt>
                <c:pt idx="5">
                  <c:v>0.26666666666666666</c:v>
                </c:pt>
                <c:pt idx="6">
                  <c:v>0.33333333333333331</c:v>
                </c:pt>
                <c:pt idx="7">
                  <c:v>0.47058823529411764</c:v>
                </c:pt>
                <c:pt idx="8">
                  <c:v>0.23076923076923078</c:v>
                </c:pt>
                <c:pt idx="9">
                  <c:v>0.40540540540540543</c:v>
                </c:pt>
                <c:pt idx="10">
                  <c:v>0.44444444444444442</c:v>
                </c:pt>
                <c:pt idx="11">
                  <c:v>0.43478260869565216</c:v>
                </c:pt>
                <c:pt idx="14">
                  <c:v>0.36842105263157893</c:v>
                </c:pt>
                <c:pt idx="15">
                  <c:v>0.62857142857142856</c:v>
                </c:pt>
                <c:pt idx="16">
                  <c:v>0.41463414634146339</c:v>
                </c:pt>
                <c:pt idx="17">
                  <c:v>0.55263157894736847</c:v>
                </c:pt>
                <c:pt idx="18">
                  <c:v>0.60465116279069764</c:v>
                </c:pt>
                <c:pt idx="19">
                  <c:v>0.51063829787234039</c:v>
                </c:pt>
                <c:pt idx="20">
                  <c:v>0.52380952380952384</c:v>
                </c:pt>
                <c:pt idx="21">
                  <c:v>0.62857142857142856</c:v>
                </c:pt>
                <c:pt idx="22">
                  <c:v>0.71052631578947367</c:v>
                </c:pt>
                <c:pt idx="23">
                  <c:v>0.6097560975609756</c:v>
                </c:pt>
              </c:numCache>
            </c:numRef>
          </c:val>
          <c:extLst>
            <c:ext xmlns:c16="http://schemas.microsoft.com/office/drawing/2014/chart" uri="{C3380CC4-5D6E-409C-BE32-E72D297353CC}">
              <c16:uniqueId val="{00000000-860C-4BE5-93A7-A3CF84F85086}"/>
            </c:ext>
          </c:extLst>
        </c:ser>
        <c:dLbls>
          <c:showLegendKey val="0"/>
          <c:showVal val="1"/>
          <c:showCatName val="0"/>
          <c:showSerName val="0"/>
          <c:showPercent val="0"/>
          <c:showBubbleSize val="0"/>
        </c:dLbls>
        <c:dropLines>
          <c:spPr>
            <a:ln w="0" cap="flat" cmpd="sng" algn="ctr">
              <a:solidFill>
                <a:schemeClr val="accent1">
                  <a:lumMod val="60000"/>
                  <a:lumOff val="40000"/>
                </a:schemeClr>
              </a:solidFill>
              <a:bevel/>
            </a:ln>
            <a:effectLst>
              <a:glow rad="88900">
                <a:schemeClr val="accent1">
                  <a:lumMod val="40000"/>
                  <a:lumOff val="60000"/>
                </a:schemeClr>
              </a:glow>
            </a:effectLst>
          </c:spPr>
        </c:dropLines>
        <c:axId val="325197935"/>
        <c:axId val="2016517983"/>
      </c:areaChart>
      <c:catAx>
        <c:axId val="32519793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95000"/>
                    <a:lumOff val="5000"/>
                  </a:schemeClr>
                </a:solidFill>
                <a:latin typeface="+mn-lt"/>
                <a:ea typeface="+mn-ea"/>
                <a:cs typeface="+mn-cs"/>
              </a:defRPr>
            </a:pPr>
            <a:endParaRPr lang="en-US"/>
          </a:p>
        </c:txPr>
        <c:crossAx val="2016517983"/>
        <c:crosses val="autoZero"/>
        <c:auto val="1"/>
        <c:lblAlgn val="ctr"/>
        <c:lblOffset val="100"/>
        <c:noMultiLvlLbl val="0"/>
      </c:catAx>
      <c:valAx>
        <c:axId val="2016517983"/>
        <c:scaling>
          <c:orientation val="minMax"/>
        </c:scaling>
        <c:delete val="1"/>
        <c:axPos val="l"/>
        <c:numFmt formatCode="0.00%" sourceLinked="1"/>
        <c:majorTickMark val="out"/>
        <c:minorTickMark val="none"/>
        <c:tickLblPos val="nextTo"/>
        <c:crossAx val="3251979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[AzeriMed_Sales_Data_1000_original_Dashobard.xlsx]Pivot Table Loyalty!Repeat Customers by Month</c:name>
    <c:fmtId val="4"/>
  </c:pivotSource>
  <c:chart>
    <c:title>
      <c:tx>
        <c:rich>
          <a:bodyPr rot="0" spcFirstLastPara="1" vertOverflow="ellipsis" vert="horz" wrap="square" anchor="ctr" anchorCtr="1"/>
          <a:lstStyle/>
          <a:p>
            <a:pPr>
              <a:defRPr lang="en-US" sz="1400" b="1" i="0" u="none" strike="noStrike" kern="1200" cap="all" spc="100" normalizeH="0" baseline="0">
                <a:solidFill>
                  <a:schemeClr val="accent1">
                    <a:lumMod val="75000"/>
                  </a:schemeClr>
                </a:solidFill>
                <a:latin typeface="Calibri" panose="020F0502020204030204"/>
                <a:ea typeface="Calibri" panose="020F0502020204030204" pitchFamily="34" charset="0"/>
                <a:cs typeface="Calibri" panose="020F0502020204030204" pitchFamily="34" charset="0"/>
              </a:defRPr>
            </a:pPr>
            <a:r>
              <a:rPr lang="en-US" sz="1400" b="1" i="0" u="none" strike="noStrike" baseline="0" dirty="0">
                <a:solidFill>
                  <a:schemeClr val="accent1">
                    <a:lumMod val="75000"/>
                  </a:schemeClr>
                </a:solidFill>
                <a:latin typeface="Calibri" panose="020F0502020204030204"/>
                <a:ea typeface="Calibri" panose="020F0502020204030204" pitchFamily="34" charset="0"/>
                <a:cs typeface="Calibri" panose="020F0502020204030204" pitchFamily="34" charset="0"/>
              </a:rPr>
              <a:t>Repeat Customers by Month</a:t>
            </a:r>
          </a:p>
        </c:rich>
      </c:tx>
      <c:layout>
        <c:manualLayout>
          <c:xMode val="edge"/>
          <c:yMode val="edge"/>
          <c:x val="0.24323623481491044"/>
          <c:y val="3.3694344163658241E-2"/>
        </c:manualLayout>
      </c:layout>
      <c:overlay val="0"/>
      <c:spPr>
        <a:noFill/>
        <a:ln>
          <a:noFill/>
        </a:ln>
        <a:effectLst/>
      </c:spPr>
      <c:txPr>
        <a:bodyPr rot="0" spcFirstLastPara="1" vertOverflow="ellipsis" vert="horz" wrap="square" anchor="ctr" anchorCtr="1"/>
        <a:lstStyle/>
        <a:p>
          <a:pPr>
            <a:defRPr lang="en-US" sz="1400" b="1" i="0" u="none" strike="noStrike" kern="1200" cap="all" spc="100" normalizeH="0" baseline="0">
              <a:solidFill>
                <a:schemeClr val="accent1">
                  <a:lumMod val="75000"/>
                </a:schemeClr>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Loyalty'!$F$67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Table Loyalty'!$E$68:$E$93</c:f>
              <c:multiLvlStrCache>
                <c:ptCount val="2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2023</c:v>
                  </c:pt>
                  <c:pt idx="12">
                    <c:v>2024</c:v>
                  </c:pt>
                </c:lvl>
              </c:multiLvlStrCache>
            </c:multiLvlStrRef>
          </c:cat>
          <c:val>
            <c:numRef>
              <c:f>'Pivot Table Loyalty'!$F$68:$F$93</c:f>
              <c:numCache>
                <c:formatCode>General</c:formatCode>
                <c:ptCount val="23"/>
                <c:pt idx="0">
                  <c:v>40</c:v>
                </c:pt>
                <c:pt idx="1">
                  <c:v>32</c:v>
                </c:pt>
                <c:pt idx="2">
                  <c:v>33</c:v>
                </c:pt>
                <c:pt idx="3">
                  <c:v>29</c:v>
                </c:pt>
                <c:pt idx="4">
                  <c:v>34</c:v>
                </c:pt>
                <c:pt idx="5">
                  <c:v>26</c:v>
                </c:pt>
                <c:pt idx="6">
                  <c:v>25</c:v>
                </c:pt>
                <c:pt idx="7">
                  <c:v>31</c:v>
                </c:pt>
                <c:pt idx="8">
                  <c:v>26</c:v>
                </c:pt>
                <c:pt idx="9">
                  <c:v>26</c:v>
                </c:pt>
                <c:pt idx="10">
                  <c:v>29</c:v>
                </c:pt>
                <c:pt idx="11">
                  <c:v>30</c:v>
                </c:pt>
                <c:pt idx="12">
                  <c:v>22</c:v>
                </c:pt>
                <c:pt idx="13">
                  <c:v>22</c:v>
                </c:pt>
                <c:pt idx="14">
                  <c:v>27</c:v>
                </c:pt>
                <c:pt idx="15">
                  <c:v>20</c:v>
                </c:pt>
                <c:pt idx="16">
                  <c:v>25</c:v>
                </c:pt>
                <c:pt idx="17">
                  <c:v>32</c:v>
                </c:pt>
                <c:pt idx="18">
                  <c:v>30</c:v>
                </c:pt>
                <c:pt idx="19">
                  <c:v>24</c:v>
                </c:pt>
                <c:pt idx="20">
                  <c:v>23</c:v>
                </c:pt>
                <c:pt idx="21">
                  <c:v>29</c:v>
                </c:pt>
                <c:pt idx="22">
                  <c:v>25</c:v>
                </c:pt>
              </c:numCache>
            </c:numRef>
          </c:val>
          <c:smooth val="0"/>
          <c:extLst>
            <c:ext xmlns:c16="http://schemas.microsoft.com/office/drawing/2014/chart" uri="{C3380CC4-5D6E-409C-BE32-E72D297353CC}">
              <c16:uniqueId val="{00000000-597B-4A2A-800C-FF762B164C5D}"/>
            </c:ext>
          </c:extLst>
        </c:ser>
        <c:dLbls>
          <c:dLblPos val="t"/>
          <c:showLegendKey val="0"/>
          <c:showVal val="1"/>
          <c:showCatName val="0"/>
          <c:showSerName val="0"/>
          <c:showPercent val="0"/>
          <c:showBubbleSize val="0"/>
        </c:dLbls>
        <c:dropLines>
          <c:spPr>
            <a:ln w="9525" cap="flat" cmpd="sng" algn="ctr">
              <a:solidFill>
                <a:schemeClr val="accent1">
                  <a:lumMod val="75000"/>
                </a:schemeClr>
              </a:solidFill>
              <a:round/>
            </a:ln>
            <a:effectLst/>
          </c:spPr>
        </c:dropLines>
        <c:marker val="1"/>
        <c:smooth val="0"/>
        <c:axId val="1931572607"/>
        <c:axId val="267452767"/>
      </c:lineChart>
      <c:catAx>
        <c:axId val="1931572607"/>
        <c:scaling>
          <c:orientation val="minMax"/>
        </c:scaling>
        <c:delete val="0"/>
        <c:axPos val="b"/>
        <c:numFmt formatCode="General" sourceLinked="1"/>
        <c:majorTickMark val="none"/>
        <c:minorTickMark val="none"/>
        <c:tickLblPos val="nextTo"/>
        <c:spPr>
          <a:noFill/>
          <a:ln w="12700" cap="flat" cmpd="sng" algn="ctr">
            <a:noFill/>
            <a:round/>
          </a:ln>
          <a:effectLst/>
        </c:spPr>
        <c:txPr>
          <a:bodyPr rot="-2820000" spcFirstLastPara="1" vertOverflow="ellipsis" wrap="square" anchor="ctr" anchorCtr="1"/>
          <a:lstStyle/>
          <a:p>
            <a:pPr algn="ctr">
              <a:defRPr lang="en-US" sz="900" b="0" i="0" u="none" strike="noStrike" kern="1200" spc="100" baseline="0">
                <a:solidFill>
                  <a:srgbClr val="002060"/>
                </a:solidFill>
                <a:latin typeface="+mn-lt"/>
                <a:ea typeface="+mn-ea"/>
                <a:cs typeface="+mn-cs"/>
              </a:defRPr>
            </a:pPr>
            <a:endParaRPr lang="en-US"/>
          </a:p>
        </c:txPr>
        <c:crossAx val="267452767"/>
        <c:crosses val="autoZero"/>
        <c:auto val="1"/>
        <c:lblAlgn val="ctr"/>
        <c:lblOffset val="100"/>
        <c:noMultiLvlLbl val="0"/>
      </c:catAx>
      <c:valAx>
        <c:axId val="267452767"/>
        <c:scaling>
          <c:orientation val="minMax"/>
        </c:scaling>
        <c:delete val="1"/>
        <c:axPos val="l"/>
        <c:numFmt formatCode="General" sourceLinked="1"/>
        <c:majorTickMark val="none"/>
        <c:minorTickMark val="none"/>
        <c:tickLblPos val="nextTo"/>
        <c:crossAx val="1931572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GB" sz="1400" b="1" i="0" u="none" strike="noStrike" kern="1200" cap="all" spc="100" normalizeH="0" baseline="0">
                <a:solidFill>
                  <a:schemeClr val="accent1">
                    <a:lumMod val="75000"/>
                  </a:schemeClr>
                </a:solidFill>
                <a:latin typeface="Calibri" panose="020F0502020204030204"/>
                <a:ea typeface="Calibri" panose="020F0502020204030204" pitchFamily="34" charset="0"/>
                <a:cs typeface="Calibri" panose="020F0502020204030204" pitchFamily="34" charset="0"/>
              </a:defRPr>
            </a:pPr>
            <a:r>
              <a:rPr lang="en-GB" sz="1400" b="1" i="0" u="none" strike="noStrike" kern="1200" cap="all" spc="100" normalizeH="0" baseline="0">
                <a:solidFill>
                  <a:schemeClr val="accent1">
                    <a:lumMod val="75000"/>
                  </a:schemeClr>
                </a:solidFill>
                <a:latin typeface="Calibri" panose="020F0502020204030204"/>
                <a:ea typeface="Calibri" panose="020F0502020204030204" pitchFamily="34" charset="0"/>
                <a:cs typeface="Calibri" panose="020F0502020204030204" pitchFamily="34" charset="0"/>
              </a:rPr>
              <a:t>Churn vs Retention Comparison</a:t>
            </a:r>
          </a:p>
        </c:rich>
      </c:tx>
      <c:overlay val="0"/>
      <c:spPr>
        <a:noFill/>
        <a:ln>
          <a:noFill/>
        </a:ln>
        <a:effectLst/>
      </c:spPr>
      <c:txPr>
        <a:bodyPr rot="0" spcFirstLastPara="1" vertOverflow="ellipsis" vert="horz" wrap="square" anchor="ctr" anchorCtr="1"/>
        <a:lstStyle/>
        <a:p>
          <a:pPr algn="ctr" rtl="0">
            <a:defRPr lang="en-GB" sz="1400" b="1" i="0" u="none" strike="noStrike" kern="1200" cap="all" spc="100" normalizeH="0" baseline="0">
              <a:solidFill>
                <a:schemeClr val="accent1">
                  <a:lumMod val="75000"/>
                </a:schemeClr>
              </a:solidFill>
              <a:latin typeface="Calibri" panose="020F0502020204030204"/>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3.631679073225913E-2"/>
          <c:y val="0.22740566111870744"/>
          <c:w val="0.93490197898030891"/>
          <c:h val="0.71670611532839834"/>
        </c:manualLayout>
      </c:layout>
      <c:lineChart>
        <c:grouping val="standard"/>
        <c:varyColors val="0"/>
        <c:ser>
          <c:idx val="0"/>
          <c:order val="0"/>
          <c:tx>
            <c:strRef>
              <c:f>'Pivot Table Loyalty'!$I$66</c:f>
              <c:strCache>
                <c:ptCount val="1"/>
                <c:pt idx="0">
                  <c:v>Chrun Rate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Loyalty'!$H$67:$H$90</c:f>
              <c:strCache>
                <c:ptCount val="24"/>
                <c:pt idx="0">
                  <c:v>2023-Jan</c:v>
                </c:pt>
                <c:pt idx="1">
                  <c:v>2023-Feb</c:v>
                </c:pt>
                <c:pt idx="2">
                  <c:v>2023-Mar</c:v>
                </c:pt>
                <c:pt idx="3">
                  <c:v>2023-Apr</c:v>
                </c:pt>
                <c:pt idx="4">
                  <c:v>2023-May</c:v>
                </c:pt>
                <c:pt idx="5">
                  <c:v>2023-Jun</c:v>
                </c:pt>
                <c:pt idx="6">
                  <c:v>2023-Jul</c:v>
                </c:pt>
                <c:pt idx="7">
                  <c:v>2023-Aug</c:v>
                </c:pt>
                <c:pt idx="8">
                  <c:v>2023-Sep</c:v>
                </c:pt>
                <c:pt idx="9">
                  <c:v>2023-Oct</c:v>
                </c:pt>
                <c:pt idx="10">
                  <c:v>2023-Nov</c:v>
                </c:pt>
                <c:pt idx="11">
                  <c:v>2023-Dec</c:v>
                </c:pt>
                <c:pt idx="13">
                  <c:v>2024-Jan</c:v>
                </c:pt>
                <c:pt idx="14">
                  <c:v>2024-Feb</c:v>
                </c:pt>
                <c:pt idx="15">
                  <c:v>2024-Mar</c:v>
                </c:pt>
                <c:pt idx="16">
                  <c:v>2024-Apr</c:v>
                </c:pt>
                <c:pt idx="17">
                  <c:v>2024-May</c:v>
                </c:pt>
                <c:pt idx="18">
                  <c:v>2024-Jun</c:v>
                </c:pt>
                <c:pt idx="19">
                  <c:v>2024-Jul</c:v>
                </c:pt>
                <c:pt idx="20">
                  <c:v>2024-Aug</c:v>
                </c:pt>
                <c:pt idx="21">
                  <c:v>2024-Sep</c:v>
                </c:pt>
                <c:pt idx="22">
                  <c:v>2024-Oct</c:v>
                </c:pt>
                <c:pt idx="23">
                  <c:v>2024-Nov</c:v>
                </c:pt>
              </c:strCache>
            </c:strRef>
          </c:cat>
          <c:val>
            <c:numRef>
              <c:f>'Pivot Table Loyalty'!$I$67:$I$90</c:f>
              <c:numCache>
                <c:formatCode>0%</c:formatCode>
                <c:ptCount val="24"/>
                <c:pt idx="1">
                  <c:v>0.14285714285714285</c:v>
                </c:pt>
                <c:pt idx="2">
                  <c:v>8.3333333333333329E-2</c:v>
                </c:pt>
                <c:pt idx="3">
                  <c:v>-4.5454545454545456E-2</c:v>
                </c:pt>
                <c:pt idx="4">
                  <c:v>2.1739130434782608E-2</c:v>
                </c:pt>
                <c:pt idx="5">
                  <c:v>0.13333333333333333</c:v>
                </c:pt>
                <c:pt idx="6">
                  <c:v>0.12820512820512819</c:v>
                </c:pt>
                <c:pt idx="7">
                  <c:v>-0.52941176470588236</c:v>
                </c:pt>
                <c:pt idx="8">
                  <c:v>0.28846153846153844</c:v>
                </c:pt>
                <c:pt idx="9">
                  <c:v>-0.21621621621621623</c:v>
                </c:pt>
                <c:pt idx="10">
                  <c:v>-2.2222222222222223E-2</c:v>
                </c:pt>
                <c:pt idx="11">
                  <c:v>-6.5217391304347824E-2</c:v>
                </c:pt>
                <c:pt idx="14">
                  <c:v>7.8947368421052627E-2</c:v>
                </c:pt>
                <c:pt idx="15">
                  <c:v>-0.17142857142857143</c:v>
                </c:pt>
                <c:pt idx="16">
                  <c:v>7.3170731707317069E-2</c:v>
                </c:pt>
                <c:pt idx="17">
                  <c:v>-0.13157894736842105</c:v>
                </c:pt>
                <c:pt idx="18">
                  <c:v>-9.3023255813953487E-2</c:v>
                </c:pt>
                <c:pt idx="19">
                  <c:v>0.10638297872340426</c:v>
                </c:pt>
                <c:pt idx="20">
                  <c:v>0.16666666666666666</c:v>
                </c:pt>
                <c:pt idx="21">
                  <c:v>-8.5714285714285715E-2</c:v>
                </c:pt>
                <c:pt idx="22">
                  <c:v>-7.8947368421052627E-2</c:v>
                </c:pt>
                <c:pt idx="23">
                  <c:v>-4.878048780487805E-2</c:v>
                </c:pt>
              </c:numCache>
            </c:numRef>
          </c:val>
          <c:smooth val="0"/>
          <c:extLst>
            <c:ext xmlns:c16="http://schemas.microsoft.com/office/drawing/2014/chart" uri="{C3380CC4-5D6E-409C-BE32-E72D297353CC}">
              <c16:uniqueId val="{00000000-2E03-4940-A2EF-3D964E6355FF}"/>
            </c:ext>
          </c:extLst>
        </c:ser>
        <c:ser>
          <c:idx val="1"/>
          <c:order val="1"/>
          <c:tx>
            <c:strRef>
              <c:f>'Pivot Table Loyalty'!$J$66</c:f>
              <c:strCache>
                <c:ptCount val="1"/>
                <c:pt idx="0">
                  <c:v>Retention Rate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Loyalty'!$H$67:$H$90</c:f>
              <c:strCache>
                <c:ptCount val="24"/>
                <c:pt idx="0">
                  <c:v>2023-Jan</c:v>
                </c:pt>
                <c:pt idx="1">
                  <c:v>2023-Feb</c:v>
                </c:pt>
                <c:pt idx="2">
                  <c:v>2023-Mar</c:v>
                </c:pt>
                <c:pt idx="3">
                  <c:v>2023-Apr</c:v>
                </c:pt>
                <c:pt idx="4">
                  <c:v>2023-May</c:v>
                </c:pt>
                <c:pt idx="5">
                  <c:v>2023-Jun</c:v>
                </c:pt>
                <c:pt idx="6">
                  <c:v>2023-Jul</c:v>
                </c:pt>
                <c:pt idx="7">
                  <c:v>2023-Aug</c:v>
                </c:pt>
                <c:pt idx="8">
                  <c:v>2023-Sep</c:v>
                </c:pt>
                <c:pt idx="9">
                  <c:v>2023-Oct</c:v>
                </c:pt>
                <c:pt idx="10">
                  <c:v>2023-Nov</c:v>
                </c:pt>
                <c:pt idx="11">
                  <c:v>2023-Dec</c:v>
                </c:pt>
                <c:pt idx="13">
                  <c:v>2024-Jan</c:v>
                </c:pt>
                <c:pt idx="14">
                  <c:v>2024-Feb</c:v>
                </c:pt>
                <c:pt idx="15">
                  <c:v>2024-Mar</c:v>
                </c:pt>
                <c:pt idx="16">
                  <c:v>2024-Apr</c:v>
                </c:pt>
                <c:pt idx="17">
                  <c:v>2024-May</c:v>
                </c:pt>
                <c:pt idx="18">
                  <c:v>2024-Jun</c:v>
                </c:pt>
                <c:pt idx="19">
                  <c:v>2024-Jul</c:v>
                </c:pt>
                <c:pt idx="20">
                  <c:v>2024-Aug</c:v>
                </c:pt>
                <c:pt idx="21">
                  <c:v>2024-Sep</c:v>
                </c:pt>
                <c:pt idx="22">
                  <c:v>2024-Oct</c:v>
                </c:pt>
                <c:pt idx="23">
                  <c:v>2024-Nov</c:v>
                </c:pt>
              </c:strCache>
            </c:strRef>
          </c:cat>
          <c:val>
            <c:numRef>
              <c:f>'Pivot Table Loyalty'!$J$67:$J$90</c:f>
              <c:numCache>
                <c:formatCode>0%</c:formatCode>
                <c:ptCount val="24"/>
                <c:pt idx="1">
                  <c:v>0</c:v>
                </c:pt>
                <c:pt idx="2">
                  <c:v>0.16666666666666666</c:v>
                </c:pt>
                <c:pt idx="3">
                  <c:v>0.15909090909090909</c:v>
                </c:pt>
                <c:pt idx="4">
                  <c:v>0.32608695652173914</c:v>
                </c:pt>
                <c:pt idx="5">
                  <c:v>0.26666666666666666</c:v>
                </c:pt>
                <c:pt idx="6">
                  <c:v>0.33333333333333331</c:v>
                </c:pt>
                <c:pt idx="7">
                  <c:v>0.47058823529411764</c:v>
                </c:pt>
                <c:pt idx="8">
                  <c:v>0.23076923076923078</c:v>
                </c:pt>
                <c:pt idx="9">
                  <c:v>0.40540540540540543</c:v>
                </c:pt>
                <c:pt idx="10">
                  <c:v>0.44444444444444442</c:v>
                </c:pt>
                <c:pt idx="11">
                  <c:v>0.43478260869565216</c:v>
                </c:pt>
                <c:pt idx="14">
                  <c:v>0.36842105263157893</c:v>
                </c:pt>
                <c:pt idx="15">
                  <c:v>0.62857142857142856</c:v>
                </c:pt>
                <c:pt idx="16">
                  <c:v>0.41463414634146339</c:v>
                </c:pt>
                <c:pt idx="17">
                  <c:v>0.55263157894736847</c:v>
                </c:pt>
                <c:pt idx="18">
                  <c:v>0.60465116279069764</c:v>
                </c:pt>
                <c:pt idx="19">
                  <c:v>0.51063829787234039</c:v>
                </c:pt>
                <c:pt idx="20">
                  <c:v>0.52380952380952384</c:v>
                </c:pt>
                <c:pt idx="21">
                  <c:v>0.62857142857142856</c:v>
                </c:pt>
                <c:pt idx="22">
                  <c:v>0.71052631578947367</c:v>
                </c:pt>
                <c:pt idx="23">
                  <c:v>0.6097560975609756</c:v>
                </c:pt>
              </c:numCache>
            </c:numRef>
          </c:val>
          <c:smooth val="0"/>
          <c:extLst>
            <c:ext xmlns:c16="http://schemas.microsoft.com/office/drawing/2014/chart" uri="{C3380CC4-5D6E-409C-BE32-E72D297353CC}">
              <c16:uniqueId val="{00000001-2E03-4940-A2EF-3D964E6355FF}"/>
            </c:ext>
          </c:extLst>
        </c:ser>
        <c:dLbls>
          <c:dLblPos val="t"/>
          <c:showLegendKey val="0"/>
          <c:showVal val="1"/>
          <c:showCatName val="0"/>
          <c:showSerName val="0"/>
          <c:showPercent val="0"/>
          <c:showBubbleSize val="0"/>
        </c:dLbls>
        <c:marker val="1"/>
        <c:smooth val="0"/>
        <c:axId val="325235135"/>
        <c:axId val="267467743"/>
      </c:lineChart>
      <c:catAx>
        <c:axId val="325235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267467743"/>
        <c:crosses val="autoZero"/>
        <c:auto val="1"/>
        <c:lblAlgn val="ctr"/>
        <c:lblOffset val="100"/>
        <c:noMultiLvlLbl val="0"/>
      </c:catAx>
      <c:valAx>
        <c:axId val="267467743"/>
        <c:scaling>
          <c:orientation val="minMax"/>
        </c:scaling>
        <c:delete val="1"/>
        <c:axPos val="l"/>
        <c:numFmt formatCode="0%" sourceLinked="1"/>
        <c:majorTickMark val="none"/>
        <c:minorTickMark val="none"/>
        <c:tickLblPos val="nextTo"/>
        <c:crossAx val="325235135"/>
        <c:crosses val="autoZero"/>
        <c:crossBetween val="between"/>
      </c:valAx>
      <c:spPr>
        <a:noFill/>
        <a:ln w="25400">
          <a:noFill/>
        </a:ln>
        <a:effectLst/>
      </c:spPr>
    </c:plotArea>
    <c:legend>
      <c:legendPos val="t"/>
      <c:layout>
        <c:manualLayout>
          <c:xMode val="edge"/>
          <c:yMode val="edge"/>
          <c:x val="0.28137947155927956"/>
          <c:y val="0.9110086455331412"/>
          <c:w val="0.32162321140565514"/>
          <c:h val="6.4841952392838506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[AzeriMed_Sales_Data_1000_original_Dashobard.xlsx]Pivot Table Amount!Amount By Month</c:name>
    <c:fmtId val="2"/>
  </c:pivotSource>
  <c:chart>
    <c:title>
      <c:tx>
        <c:rich>
          <a:bodyPr rot="0" spcFirstLastPara="1" vertOverflow="ellipsis" vert="horz" wrap="square" anchor="ctr" anchorCtr="1"/>
          <a:lstStyle/>
          <a:p>
            <a:pPr>
              <a:defRPr lang="en-US" sz="1400" b="1" i="0" u="none" strike="noStrike" kern="1200" spc="0" baseline="0">
                <a:solidFill>
                  <a:schemeClr val="accent1">
                    <a:lumMod val="75000"/>
                  </a:schemeClr>
                </a:solidFill>
                <a:latin typeface="Calibri" panose="020F0502020204030204"/>
                <a:ea typeface="Calibri" panose="020F0502020204030204" pitchFamily="34" charset="0"/>
                <a:cs typeface="Calibri" panose="020F0502020204030204" pitchFamily="34" charset="0"/>
              </a:defRPr>
            </a:pPr>
            <a:r>
              <a:rPr lang="en-US" sz="1400" b="1" i="0" u="none" strike="noStrike" baseline="0" dirty="0">
                <a:solidFill>
                  <a:schemeClr val="accent1">
                    <a:lumMod val="75000"/>
                  </a:schemeClr>
                </a:solidFill>
                <a:latin typeface="Calibri" panose="020F0502020204030204"/>
                <a:ea typeface="Calibri" panose="020F0502020204030204" pitchFamily="34" charset="0"/>
                <a:cs typeface="Calibri" panose="020F0502020204030204" pitchFamily="34" charset="0"/>
              </a:rPr>
              <a:t>Amount By Month</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accent1">
                  <a:lumMod val="75000"/>
                </a:schemeClr>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9"/>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874899344049651E-2"/>
          <c:y val="0.10689814814814814"/>
          <c:w val="0.91933543132979023"/>
          <c:h val="0.61441272965879268"/>
        </c:manualLayout>
      </c:layout>
      <c:lineChart>
        <c:grouping val="standard"/>
        <c:varyColors val="0"/>
        <c:ser>
          <c:idx val="0"/>
          <c:order val="0"/>
          <c:tx>
            <c:strRef>
              <c:f>'Pivot Table Amount'!$C$4</c:f>
              <c:strCache>
                <c:ptCount val="1"/>
                <c:pt idx="0">
                  <c:v>Total</c:v>
                </c:pt>
              </c:strCache>
            </c:strRef>
          </c:tx>
          <c:spPr>
            <a:ln w="28575" cap="rnd">
              <a:solidFill>
                <a:schemeClr val="accent1"/>
              </a:solidFill>
              <a:round/>
            </a:ln>
            <a:effectLst/>
          </c:spPr>
          <c:marker>
            <c:symbol val="circle"/>
            <c:size val="9"/>
            <c:spPr>
              <a:solidFill>
                <a:srgbClr val="00206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 Amount'!$B$5:$B$30</c:f>
              <c:multiLvlStrCache>
                <c:ptCount val="2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2023</c:v>
                  </c:pt>
                  <c:pt idx="12">
                    <c:v>2024</c:v>
                  </c:pt>
                </c:lvl>
              </c:multiLvlStrCache>
            </c:multiLvlStrRef>
          </c:cat>
          <c:val>
            <c:numRef>
              <c:f>'Pivot Table Amount'!$C$5:$C$30</c:f>
              <c:numCache>
                <c:formatCode>0</c:formatCode>
                <c:ptCount val="23"/>
                <c:pt idx="0">
                  <c:v>15280.289999999997</c:v>
                </c:pt>
                <c:pt idx="1">
                  <c:v>12995.180000000002</c:v>
                </c:pt>
                <c:pt idx="2">
                  <c:v>12631.39</c:v>
                </c:pt>
                <c:pt idx="3">
                  <c:v>12539.980000000003</c:v>
                </c:pt>
                <c:pt idx="4">
                  <c:v>11419.84</c:v>
                </c:pt>
                <c:pt idx="5">
                  <c:v>10527.57</c:v>
                </c:pt>
                <c:pt idx="6">
                  <c:v>8107.7099999999982</c:v>
                </c:pt>
                <c:pt idx="7">
                  <c:v>14113.2</c:v>
                </c:pt>
                <c:pt idx="8">
                  <c:v>6762.8099999999995</c:v>
                </c:pt>
                <c:pt idx="9">
                  <c:v>9654.76</c:v>
                </c:pt>
                <c:pt idx="10">
                  <c:v>13147.769999999999</c:v>
                </c:pt>
                <c:pt idx="11">
                  <c:v>11683.250000000002</c:v>
                </c:pt>
                <c:pt idx="12">
                  <c:v>9548.6900000000023</c:v>
                </c:pt>
                <c:pt idx="13">
                  <c:v>8507.1499999999978</c:v>
                </c:pt>
                <c:pt idx="14">
                  <c:v>12672.260000000002</c:v>
                </c:pt>
                <c:pt idx="15">
                  <c:v>10256.26</c:v>
                </c:pt>
                <c:pt idx="16">
                  <c:v>9022.7899999999972</c:v>
                </c:pt>
                <c:pt idx="17">
                  <c:v>10770.55</c:v>
                </c:pt>
                <c:pt idx="18">
                  <c:v>10907.739999999998</c:v>
                </c:pt>
                <c:pt idx="19">
                  <c:v>9314.82</c:v>
                </c:pt>
                <c:pt idx="20">
                  <c:v>8679.93</c:v>
                </c:pt>
                <c:pt idx="21">
                  <c:v>10298.249999999998</c:v>
                </c:pt>
                <c:pt idx="22">
                  <c:v>10754.230000000003</c:v>
                </c:pt>
              </c:numCache>
            </c:numRef>
          </c:val>
          <c:smooth val="0"/>
          <c:extLst>
            <c:ext xmlns:c16="http://schemas.microsoft.com/office/drawing/2014/chart" uri="{C3380CC4-5D6E-409C-BE32-E72D297353CC}">
              <c16:uniqueId val="{00000000-2A2E-4D08-9AEB-9B9991EB9BFC}"/>
            </c:ext>
          </c:extLst>
        </c:ser>
        <c:dLbls>
          <c:dLblPos val="t"/>
          <c:showLegendKey val="0"/>
          <c:showVal val="1"/>
          <c:showCatName val="0"/>
          <c:showSerName val="0"/>
          <c:showPercent val="0"/>
          <c:showBubbleSize val="0"/>
        </c:dLbls>
        <c:marker val="1"/>
        <c:smooth val="0"/>
        <c:axId val="1929112463"/>
        <c:axId val="2023591887"/>
      </c:lineChart>
      <c:catAx>
        <c:axId val="19291124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2023591887"/>
        <c:crosses val="autoZero"/>
        <c:auto val="1"/>
        <c:lblAlgn val="ctr"/>
        <c:lblOffset val="100"/>
        <c:noMultiLvlLbl val="0"/>
      </c:catAx>
      <c:valAx>
        <c:axId val="2023591887"/>
        <c:scaling>
          <c:orientation val="minMax"/>
        </c:scaling>
        <c:delete val="1"/>
        <c:axPos val="l"/>
        <c:numFmt formatCode="0" sourceLinked="1"/>
        <c:majorTickMark val="none"/>
        <c:minorTickMark val="none"/>
        <c:tickLblPos val="nextTo"/>
        <c:crossAx val="1929112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[AzeriMed_Sales_Data_1000_original_Dashobard.xlsx]Pivot Table Amount!Amount By Region</c:name>
    <c:fmtId val="2"/>
  </c:pivotSource>
  <c:chart>
    <c:title>
      <c:tx>
        <c:rich>
          <a:bodyPr rot="0" spcFirstLastPara="1" vertOverflow="ellipsis" vert="horz" wrap="square" anchor="ctr" anchorCtr="1"/>
          <a:lstStyle/>
          <a:p>
            <a:pPr algn="ctr" rtl="0">
              <a:defRPr lang="en-GB" sz="1400" b="1" i="0" u="none" strike="noStrike" kern="1200" spc="0" baseline="0">
                <a:solidFill>
                  <a:schemeClr val="accent1">
                    <a:lumMod val="75000"/>
                  </a:schemeClr>
                </a:solidFill>
                <a:latin typeface="Calibri" panose="020F0502020204030204"/>
                <a:ea typeface="Calibri" panose="020F0502020204030204" pitchFamily="34" charset="0"/>
                <a:cs typeface="Calibri" panose="020F0502020204030204" pitchFamily="34" charset="0"/>
              </a:defRPr>
            </a:pPr>
            <a:r>
              <a:rPr lang="en-US" sz="1400" b="1" i="0" u="none" strike="noStrike" kern="1200" spc="0" baseline="0">
                <a:solidFill>
                  <a:schemeClr val="accent1">
                    <a:lumMod val="75000"/>
                  </a:schemeClr>
                </a:solidFill>
                <a:latin typeface="Calibri" panose="020F0502020204030204"/>
                <a:ea typeface="Calibri" panose="020F0502020204030204" pitchFamily="34" charset="0"/>
                <a:cs typeface="Calibri" panose="020F0502020204030204" pitchFamily="34" charset="0"/>
              </a:rPr>
              <a:t>Amount By Region</a:t>
            </a:r>
          </a:p>
        </c:rich>
      </c:tx>
      <c:overlay val="0"/>
      <c:spPr>
        <a:noFill/>
        <a:ln>
          <a:noFill/>
        </a:ln>
        <a:effectLst/>
      </c:spPr>
      <c:txPr>
        <a:bodyPr rot="0" spcFirstLastPara="1" vertOverflow="ellipsis" vert="horz" wrap="square" anchor="ctr" anchorCtr="1"/>
        <a:lstStyle/>
        <a:p>
          <a:pPr algn="ctr" rtl="0">
            <a:defRPr lang="en-GB" sz="1400" b="1" i="0" u="none" strike="noStrike" kern="1200" spc="0" baseline="0">
              <a:solidFill>
                <a:schemeClr val="accent1">
                  <a:lumMod val="75000"/>
                </a:schemeClr>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barChart>
        <c:barDir val="col"/>
        <c:grouping val="clustered"/>
        <c:varyColors val="1"/>
        <c:ser>
          <c:idx val="0"/>
          <c:order val="0"/>
          <c:tx>
            <c:strRef>
              <c:f>'Pivot Table Amount'!$F$4</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F8D-4AD2-A778-E73600E93E2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F8D-4AD2-A778-E73600E93E2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F8D-4AD2-A778-E73600E93E2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F8D-4AD2-A778-E73600E93E23}"/>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F8D-4AD2-A778-E73600E93E23}"/>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F8D-4AD2-A778-E73600E93E23}"/>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9F8D-4AD2-A778-E73600E93E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Amount'!$E$5:$E$12</c:f>
              <c:strCache>
                <c:ptCount val="7"/>
                <c:pt idx="0">
                  <c:v>Shaki</c:v>
                </c:pt>
                <c:pt idx="1">
                  <c:v>Nakhchivan</c:v>
                </c:pt>
                <c:pt idx="2">
                  <c:v>Lankaran</c:v>
                </c:pt>
                <c:pt idx="3">
                  <c:v>Shirvan</c:v>
                </c:pt>
                <c:pt idx="4">
                  <c:v>Sumqayit</c:v>
                </c:pt>
                <c:pt idx="5">
                  <c:v>Ganja</c:v>
                </c:pt>
                <c:pt idx="6">
                  <c:v>Baku</c:v>
                </c:pt>
              </c:strCache>
            </c:strRef>
          </c:cat>
          <c:val>
            <c:numRef>
              <c:f>'Pivot Table Amount'!$F$5:$F$12</c:f>
              <c:numCache>
                <c:formatCode>General</c:formatCode>
                <c:ptCount val="7"/>
                <c:pt idx="0">
                  <c:v>30182.51</c:v>
                </c:pt>
                <c:pt idx="1">
                  <c:v>34021.589999999989</c:v>
                </c:pt>
                <c:pt idx="2">
                  <c:v>34874.46</c:v>
                </c:pt>
                <c:pt idx="3">
                  <c:v>35672.630000000005</c:v>
                </c:pt>
                <c:pt idx="4">
                  <c:v>36097.710000000006</c:v>
                </c:pt>
                <c:pt idx="5">
                  <c:v>36958.49</c:v>
                </c:pt>
                <c:pt idx="6">
                  <c:v>41789.029999999984</c:v>
                </c:pt>
              </c:numCache>
            </c:numRef>
          </c:val>
          <c:extLst>
            <c:ext xmlns:c16="http://schemas.microsoft.com/office/drawing/2014/chart" uri="{C3380CC4-5D6E-409C-BE32-E72D297353CC}">
              <c16:uniqueId val="{00000000-2CB9-400D-9D9D-7A65B7B80AC0}"/>
            </c:ext>
          </c:extLst>
        </c:ser>
        <c:dLbls>
          <c:dLblPos val="outEnd"/>
          <c:showLegendKey val="0"/>
          <c:showVal val="1"/>
          <c:showCatName val="0"/>
          <c:showSerName val="0"/>
          <c:showPercent val="0"/>
          <c:showBubbleSize val="0"/>
        </c:dLbls>
        <c:gapWidth val="80"/>
        <c:overlap val="-24"/>
        <c:axId val="386403983"/>
        <c:axId val="2023618095"/>
      </c:barChart>
      <c:catAx>
        <c:axId val="38640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023618095"/>
        <c:crosses val="autoZero"/>
        <c:auto val="1"/>
        <c:lblAlgn val="ctr"/>
        <c:lblOffset val="100"/>
        <c:noMultiLvlLbl val="0"/>
      </c:catAx>
      <c:valAx>
        <c:axId val="2023618095"/>
        <c:scaling>
          <c:orientation val="minMax"/>
        </c:scaling>
        <c:delete val="1"/>
        <c:axPos val="l"/>
        <c:numFmt formatCode="General" sourceLinked="1"/>
        <c:majorTickMark val="none"/>
        <c:minorTickMark val="none"/>
        <c:tickLblPos val="nextTo"/>
        <c:crossAx val="386403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[AzeriMed_Sales_Data_1000_original_Dashobard.xlsx]Pivot Table Amount!Amount By Porduct</c:name>
    <c:fmtId val="2"/>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75000"/>
                  </a:schemeClr>
                </a:solidFill>
                <a:effectLst>
                  <a:outerShdw blurRad="50800" dist="38100" dir="5400000" algn="t" rotWithShape="0">
                    <a:prstClr val="black">
                      <a:alpha val="40000"/>
                    </a:prstClr>
                  </a:outerShdw>
                </a:effectLst>
                <a:latin typeface="Calibri" panose="020F0502020204030204"/>
                <a:ea typeface="Calibri" panose="020F0502020204030204" pitchFamily="34" charset="0"/>
                <a:cs typeface="Calibri" panose="020F0502020204030204" pitchFamily="34" charset="0"/>
              </a:defRPr>
            </a:pPr>
            <a:r>
              <a:rPr lang="en-US" sz="1400" b="1" i="0" u="none" strike="noStrike" kern="1200" spc="0" baseline="0">
                <a:solidFill>
                  <a:schemeClr val="accent1">
                    <a:lumMod val="75000"/>
                  </a:schemeClr>
                </a:solidFill>
                <a:latin typeface="Calibri" panose="020F0502020204030204"/>
                <a:ea typeface="Calibri" panose="020F0502020204030204" pitchFamily="34" charset="0"/>
                <a:cs typeface="Calibri" panose="020F0502020204030204" pitchFamily="34" charset="0"/>
              </a:rPr>
              <a:t>Amount By Porduct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75000"/>
                </a:schemeClr>
              </a:solidFill>
              <a:effectLst>
                <a:outerShdw blurRad="50800" dist="38100" dir="5400000" algn="t" rotWithShape="0">
                  <a:prstClr val="black">
                    <a:alpha val="40000"/>
                  </a:prstClr>
                </a:outerShdw>
              </a:effectLst>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Amount'!$F$15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518-4188-9309-87C4F23DDE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518-4188-9309-87C4F23DDE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518-4188-9309-87C4F23DDE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518-4188-9309-87C4F23DDE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E518-4188-9309-87C4F23DDE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E518-4188-9309-87C4F23DDE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E518-4188-9309-87C4F23DDE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E518-4188-9309-87C4F23DDE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Amount'!$E$16:$E$24</c:f>
              <c:strCache>
                <c:ptCount val="8"/>
                <c:pt idx="0">
                  <c:v>Allergy Medicine</c:v>
                </c:pt>
                <c:pt idx="1">
                  <c:v>Analgesic</c:v>
                </c:pt>
                <c:pt idx="2">
                  <c:v>Antibiotic</c:v>
                </c:pt>
                <c:pt idx="3">
                  <c:v>Antiseptic</c:v>
                </c:pt>
                <c:pt idx="4">
                  <c:v>Antiviral</c:v>
                </c:pt>
                <c:pt idx="5">
                  <c:v>Bandage</c:v>
                </c:pt>
                <c:pt idx="6">
                  <c:v>Syringe</c:v>
                </c:pt>
                <c:pt idx="7">
                  <c:v>Vitamin</c:v>
                </c:pt>
              </c:strCache>
            </c:strRef>
          </c:cat>
          <c:val>
            <c:numRef>
              <c:f>'Pivot Table Amount'!$F$16:$F$24</c:f>
              <c:numCache>
                <c:formatCode>General</c:formatCode>
                <c:ptCount val="8"/>
                <c:pt idx="0">
                  <c:v>28717.52</c:v>
                </c:pt>
                <c:pt idx="1">
                  <c:v>33948.36</c:v>
                </c:pt>
                <c:pt idx="2">
                  <c:v>29849.239999999994</c:v>
                </c:pt>
                <c:pt idx="3">
                  <c:v>33945.929999999993</c:v>
                </c:pt>
                <c:pt idx="4">
                  <c:v>26382.750000000004</c:v>
                </c:pt>
                <c:pt idx="5">
                  <c:v>29443.85999999999</c:v>
                </c:pt>
                <c:pt idx="6">
                  <c:v>34219.000000000029</c:v>
                </c:pt>
                <c:pt idx="7">
                  <c:v>33089.759999999987</c:v>
                </c:pt>
              </c:numCache>
            </c:numRef>
          </c:val>
          <c:extLst>
            <c:ext xmlns:c16="http://schemas.microsoft.com/office/drawing/2014/chart" uri="{C3380CC4-5D6E-409C-BE32-E72D297353CC}">
              <c16:uniqueId val="{00000010-E518-4188-9309-87C4F23DDE2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GB" sz="1400" b="1" i="0" u="none" strike="noStrike" kern="1200" spc="0" baseline="0">
                <a:solidFill>
                  <a:schemeClr val="accent1">
                    <a:lumMod val="75000"/>
                  </a:schemeClr>
                </a:solidFill>
                <a:latin typeface="Calibri" panose="020F0502020204030204"/>
                <a:ea typeface="Calibri" panose="020F0502020204030204" pitchFamily="34" charset="0"/>
                <a:cs typeface="Calibri" panose="020F0502020204030204" pitchFamily="34" charset="0"/>
              </a:defRPr>
            </a:pPr>
            <a:r>
              <a:rPr lang="en-GB" sz="1400" b="1" i="0" u="none" strike="noStrike" kern="1200" spc="0" baseline="0">
                <a:solidFill>
                  <a:schemeClr val="accent1">
                    <a:lumMod val="75000"/>
                  </a:schemeClr>
                </a:solidFill>
                <a:latin typeface="Calibri" panose="020F0502020204030204"/>
                <a:ea typeface="Calibri" panose="020F0502020204030204" pitchFamily="34" charset="0"/>
                <a:cs typeface="Calibri" panose="020F0502020204030204" pitchFamily="34" charset="0"/>
              </a:rPr>
              <a:t> RFM Chart</a:t>
            </a:r>
          </a:p>
        </c:rich>
      </c:tx>
      <c:layout>
        <c:manualLayout>
          <c:xMode val="edge"/>
          <c:yMode val="edge"/>
          <c:x val="0.4354134024386192"/>
          <c:y val="0.19616409059978615"/>
        </c:manualLayout>
      </c:layout>
      <c:overlay val="0"/>
      <c:spPr>
        <a:noFill/>
        <a:ln>
          <a:noFill/>
        </a:ln>
        <a:effectLst/>
      </c:spPr>
      <c:txPr>
        <a:bodyPr rot="0" spcFirstLastPara="1" vertOverflow="ellipsis" vert="horz" wrap="square" anchor="ctr" anchorCtr="1"/>
        <a:lstStyle/>
        <a:p>
          <a:pPr algn="ctr" rtl="0">
            <a:defRPr lang="en-GB" sz="1400" b="1" i="0" u="none" strike="noStrike" kern="1200" spc="0" baseline="0">
              <a:solidFill>
                <a:schemeClr val="accent1">
                  <a:lumMod val="75000"/>
                </a:schemeClr>
              </a:solidFill>
              <a:latin typeface="Calibri" panose="020F0502020204030204"/>
              <a:ea typeface="Calibri" panose="020F0502020204030204" pitchFamily="34" charset="0"/>
              <a:cs typeface="Calibri" panose="020F0502020204030204" pitchFamily="34" charset="0"/>
            </a:defRPr>
          </a:pPr>
          <a:endParaRPr lang="en-US"/>
        </a:p>
      </c:txPr>
    </c:title>
    <c:autoTitleDeleted val="0"/>
    <c:view3D>
      <c:rotX val="15"/>
      <c:rotY val="20"/>
      <c:rAngAx val="0"/>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5.5669623575534068E-4"/>
          <c:y val="0.25426382813259452"/>
          <c:w val="0.96175575313105954"/>
          <c:h val="0.57019928064547487"/>
        </c:manualLayout>
      </c:layout>
      <c:bar3DChart>
        <c:barDir val="col"/>
        <c:grouping val="standard"/>
        <c:varyColors val="0"/>
        <c:ser>
          <c:idx val="1"/>
          <c:order val="1"/>
          <c:tx>
            <c:strRef>
              <c:f>AzeriMed_Sales_Data_1000_origin!$N$1</c:f>
              <c:strCache>
                <c:ptCount val="1"/>
                <c:pt idx="0">
                  <c:v>Recency</c:v>
                </c:pt>
              </c:strCache>
            </c:strRef>
          </c:tx>
          <c:spPr>
            <a:solidFill>
              <a:schemeClr val="accent2"/>
            </a:solidFill>
            <a:ln>
              <a:noFill/>
            </a:ln>
            <a:effectLst/>
            <a:sp3d/>
          </c:spPr>
          <c:invertIfNegative val="0"/>
          <c:dLbls>
            <c:dLbl>
              <c:idx val="1"/>
              <c:layout>
                <c:manualLayout>
                  <c:x val="1.0126582278481013E-2"/>
                  <c:y val="9.876543209876452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D21-4BED-B8E0-0543E6657A39}"/>
                </c:ext>
              </c:extLst>
            </c:dLbl>
            <c:dLbl>
              <c:idx val="2"/>
              <c:layout>
                <c:manualLayout>
                  <c:x val="1.0126582278481013E-2"/>
                  <c:y val="1.4814814814814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D21-4BED-B8E0-0543E6657A39}"/>
                </c:ext>
              </c:extLst>
            </c:dLbl>
            <c:dLbl>
              <c:idx val="3"/>
              <c:layout>
                <c:manualLayout>
                  <c:x val="1.5189873417721458E-2"/>
                  <c:y val="1.4814814814814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D21-4BED-B8E0-0543E6657A39}"/>
                </c:ext>
              </c:extLst>
            </c:dLbl>
            <c:dLbl>
              <c:idx val="4"/>
              <c:layout>
                <c:manualLayout>
                  <c:x val="8.4388185654007825E-3"/>
                  <c:y val="9.87654320987654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D21-4BED-B8E0-0543E6657A3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AzeriMed_Sales_Data_1000_origin!$M$2:$M$11</c:f>
              <c:numCache>
                <c:formatCode>General</c:formatCode>
                <c:ptCount val="10"/>
                <c:pt idx="0">
                  <c:v>1098</c:v>
                </c:pt>
                <c:pt idx="1">
                  <c:v>1957</c:v>
                </c:pt>
                <c:pt idx="2">
                  <c:v>1392</c:v>
                </c:pt>
                <c:pt idx="3">
                  <c:v>1775</c:v>
                </c:pt>
                <c:pt idx="4">
                  <c:v>1252</c:v>
                </c:pt>
                <c:pt idx="5">
                  <c:v>1143</c:v>
                </c:pt>
                <c:pt idx="6">
                  <c:v>1658</c:v>
                </c:pt>
                <c:pt idx="7">
                  <c:v>1189</c:v>
                </c:pt>
                <c:pt idx="8">
                  <c:v>1345</c:v>
                </c:pt>
                <c:pt idx="9">
                  <c:v>1276</c:v>
                </c:pt>
              </c:numCache>
            </c:numRef>
          </c:cat>
          <c:val>
            <c:numRef>
              <c:f>AzeriMed_Sales_Data_1000_origin!$N$2:$N$11</c:f>
              <c:numCache>
                <c:formatCode>0</c:formatCode>
                <c:ptCount val="10"/>
                <c:pt idx="0">
                  <c:v>84</c:v>
                </c:pt>
                <c:pt idx="1">
                  <c:v>28</c:v>
                </c:pt>
                <c:pt idx="2">
                  <c:v>230</c:v>
                </c:pt>
                <c:pt idx="3">
                  <c:v>107</c:v>
                </c:pt>
                <c:pt idx="4">
                  <c:v>254</c:v>
                </c:pt>
                <c:pt idx="5">
                  <c:v>83</c:v>
                </c:pt>
                <c:pt idx="6">
                  <c:v>54</c:v>
                </c:pt>
                <c:pt idx="7">
                  <c:v>258</c:v>
                </c:pt>
                <c:pt idx="8">
                  <c:v>150</c:v>
                </c:pt>
                <c:pt idx="9">
                  <c:v>314</c:v>
                </c:pt>
              </c:numCache>
            </c:numRef>
          </c:val>
          <c:extLst>
            <c:ext xmlns:c16="http://schemas.microsoft.com/office/drawing/2014/chart" uri="{C3380CC4-5D6E-409C-BE32-E72D297353CC}">
              <c16:uniqueId val="{00000000-7D21-4BED-B8E0-0543E6657A39}"/>
            </c:ext>
          </c:extLst>
        </c:ser>
        <c:ser>
          <c:idx val="2"/>
          <c:order val="2"/>
          <c:tx>
            <c:strRef>
              <c:f>AzeriMed_Sales_Data_1000_origin!$O$1</c:f>
              <c:strCache>
                <c:ptCount val="1"/>
                <c:pt idx="0">
                  <c:v>Frequence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AzeriMed_Sales_Data_1000_origin!$M$2:$M$11</c:f>
              <c:numCache>
                <c:formatCode>General</c:formatCode>
                <c:ptCount val="10"/>
                <c:pt idx="0">
                  <c:v>1098</c:v>
                </c:pt>
                <c:pt idx="1">
                  <c:v>1957</c:v>
                </c:pt>
                <c:pt idx="2">
                  <c:v>1392</c:v>
                </c:pt>
                <c:pt idx="3">
                  <c:v>1775</c:v>
                </c:pt>
                <c:pt idx="4">
                  <c:v>1252</c:v>
                </c:pt>
                <c:pt idx="5">
                  <c:v>1143</c:v>
                </c:pt>
                <c:pt idx="6">
                  <c:v>1658</c:v>
                </c:pt>
                <c:pt idx="7">
                  <c:v>1189</c:v>
                </c:pt>
                <c:pt idx="8">
                  <c:v>1345</c:v>
                </c:pt>
                <c:pt idx="9">
                  <c:v>1276</c:v>
                </c:pt>
              </c:numCache>
            </c:numRef>
          </c:cat>
          <c:val>
            <c:numRef>
              <c:f>AzeriMed_Sales_Data_1000_origin!$O$2:$O$11</c:f>
              <c:numCache>
                <c:formatCode>0.00</c:formatCode>
                <c:ptCount val="10"/>
                <c:pt idx="0">
                  <c:v>7</c:v>
                </c:pt>
                <c:pt idx="1">
                  <c:v>6</c:v>
                </c:pt>
                <c:pt idx="2">
                  <c:v>4</c:v>
                </c:pt>
                <c:pt idx="3">
                  <c:v>4</c:v>
                </c:pt>
                <c:pt idx="4">
                  <c:v>5</c:v>
                </c:pt>
                <c:pt idx="5">
                  <c:v>4</c:v>
                </c:pt>
                <c:pt idx="6">
                  <c:v>5</c:v>
                </c:pt>
                <c:pt idx="7">
                  <c:v>5</c:v>
                </c:pt>
                <c:pt idx="8">
                  <c:v>4</c:v>
                </c:pt>
                <c:pt idx="9">
                  <c:v>4</c:v>
                </c:pt>
              </c:numCache>
            </c:numRef>
          </c:val>
          <c:extLst>
            <c:ext xmlns:c16="http://schemas.microsoft.com/office/drawing/2014/chart" uri="{C3380CC4-5D6E-409C-BE32-E72D297353CC}">
              <c16:uniqueId val="{00000001-7D21-4BED-B8E0-0543E6657A39}"/>
            </c:ext>
          </c:extLst>
        </c:ser>
        <c:ser>
          <c:idx val="3"/>
          <c:order val="3"/>
          <c:tx>
            <c:strRef>
              <c:f>AzeriMed_Sales_Data_1000_origin!$P$1</c:f>
              <c:strCache>
                <c:ptCount val="1"/>
                <c:pt idx="0">
                  <c:v>Monetary</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AzeriMed_Sales_Data_1000_origin!$M$2:$M$11</c:f>
              <c:numCache>
                <c:formatCode>General</c:formatCode>
                <c:ptCount val="10"/>
                <c:pt idx="0">
                  <c:v>1098</c:v>
                </c:pt>
                <c:pt idx="1">
                  <c:v>1957</c:v>
                </c:pt>
                <c:pt idx="2">
                  <c:v>1392</c:v>
                </c:pt>
                <c:pt idx="3">
                  <c:v>1775</c:v>
                </c:pt>
                <c:pt idx="4">
                  <c:v>1252</c:v>
                </c:pt>
                <c:pt idx="5">
                  <c:v>1143</c:v>
                </c:pt>
                <c:pt idx="6">
                  <c:v>1658</c:v>
                </c:pt>
                <c:pt idx="7">
                  <c:v>1189</c:v>
                </c:pt>
                <c:pt idx="8">
                  <c:v>1345</c:v>
                </c:pt>
                <c:pt idx="9">
                  <c:v>1276</c:v>
                </c:pt>
              </c:numCache>
            </c:numRef>
          </c:cat>
          <c:val>
            <c:numRef>
              <c:f>AzeriMed_Sales_Data_1000_origin!$P$2:$P$11</c:f>
              <c:numCache>
                <c:formatCode>0.00</c:formatCode>
                <c:ptCount val="10"/>
                <c:pt idx="0">
                  <c:v>1716.0500000000002</c:v>
                </c:pt>
                <c:pt idx="1">
                  <c:v>1651.64</c:v>
                </c:pt>
                <c:pt idx="2">
                  <c:v>1578.52</c:v>
                </c:pt>
                <c:pt idx="3">
                  <c:v>1495.13</c:v>
                </c:pt>
                <c:pt idx="4">
                  <c:v>1462.33</c:v>
                </c:pt>
                <c:pt idx="5">
                  <c:v>1419.48</c:v>
                </c:pt>
                <c:pt idx="6">
                  <c:v>1378.97</c:v>
                </c:pt>
                <c:pt idx="7">
                  <c:v>1336.21</c:v>
                </c:pt>
                <c:pt idx="8">
                  <c:v>1307.3699999999999</c:v>
                </c:pt>
                <c:pt idx="9">
                  <c:v>1291.0300000000002</c:v>
                </c:pt>
              </c:numCache>
            </c:numRef>
          </c:val>
          <c:extLst>
            <c:ext xmlns:c16="http://schemas.microsoft.com/office/drawing/2014/chart" uri="{C3380CC4-5D6E-409C-BE32-E72D297353CC}">
              <c16:uniqueId val="{00000002-7D21-4BED-B8E0-0543E6657A39}"/>
            </c:ext>
          </c:extLst>
        </c:ser>
        <c:dLbls>
          <c:showLegendKey val="0"/>
          <c:showVal val="1"/>
          <c:showCatName val="0"/>
          <c:showSerName val="0"/>
          <c:showPercent val="0"/>
          <c:showBubbleSize val="0"/>
        </c:dLbls>
        <c:gapWidth val="219"/>
        <c:shape val="box"/>
        <c:axId val="310701007"/>
        <c:axId val="2028918111"/>
        <c:axId val="336253935"/>
        <c:extLst>
          <c:ext xmlns:c15="http://schemas.microsoft.com/office/drawing/2012/chart" uri="{02D57815-91ED-43cb-92C2-25804820EDAC}">
            <c15:filteredBarSeries>
              <c15:ser>
                <c:idx val="0"/>
                <c:order val="0"/>
                <c:tx>
                  <c:strRef>
                    <c:extLst>
                      <c:ext uri="{02D57815-91ED-43cb-92C2-25804820EDAC}">
                        <c15:formulaRef>
                          <c15:sqref>AzeriMed_Sales_Data_1000_origin!$M$1</c15:sqref>
                        </c15:formulaRef>
                      </c:ext>
                    </c:extLst>
                    <c:strCache>
                      <c:ptCount val="1"/>
                      <c:pt idx="0">
                        <c:v>CustomerID UNIQUE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AzeriMed_Sales_Data_1000_origin!$M$2:$M$11</c15:sqref>
                        </c15:formulaRef>
                      </c:ext>
                    </c:extLst>
                    <c:numCache>
                      <c:formatCode>General</c:formatCode>
                      <c:ptCount val="10"/>
                      <c:pt idx="0">
                        <c:v>1098</c:v>
                      </c:pt>
                      <c:pt idx="1">
                        <c:v>1957</c:v>
                      </c:pt>
                      <c:pt idx="2">
                        <c:v>1392</c:v>
                      </c:pt>
                      <c:pt idx="3">
                        <c:v>1775</c:v>
                      </c:pt>
                      <c:pt idx="4">
                        <c:v>1252</c:v>
                      </c:pt>
                      <c:pt idx="5">
                        <c:v>1143</c:v>
                      </c:pt>
                      <c:pt idx="6">
                        <c:v>1658</c:v>
                      </c:pt>
                      <c:pt idx="7">
                        <c:v>1189</c:v>
                      </c:pt>
                      <c:pt idx="8">
                        <c:v>1345</c:v>
                      </c:pt>
                      <c:pt idx="9">
                        <c:v>1276</c:v>
                      </c:pt>
                    </c:numCache>
                  </c:numRef>
                </c:cat>
                <c:val>
                  <c:numRef>
                    <c:extLst>
                      <c:ext uri="{02D57815-91ED-43cb-92C2-25804820EDAC}">
                        <c15:formulaRef>
                          <c15:sqref>AzeriMed_Sales_Data_1000_origin!$M$2:$M$11</c15:sqref>
                        </c15:formulaRef>
                      </c:ext>
                    </c:extLst>
                    <c:numCache>
                      <c:formatCode>General</c:formatCode>
                      <c:ptCount val="10"/>
                      <c:pt idx="0">
                        <c:v>1098</c:v>
                      </c:pt>
                      <c:pt idx="1">
                        <c:v>1957</c:v>
                      </c:pt>
                      <c:pt idx="2">
                        <c:v>1392</c:v>
                      </c:pt>
                      <c:pt idx="3">
                        <c:v>1775</c:v>
                      </c:pt>
                      <c:pt idx="4">
                        <c:v>1252</c:v>
                      </c:pt>
                      <c:pt idx="5">
                        <c:v>1143</c:v>
                      </c:pt>
                      <c:pt idx="6">
                        <c:v>1658</c:v>
                      </c:pt>
                      <c:pt idx="7">
                        <c:v>1189</c:v>
                      </c:pt>
                      <c:pt idx="8">
                        <c:v>1345</c:v>
                      </c:pt>
                      <c:pt idx="9">
                        <c:v>1276</c:v>
                      </c:pt>
                    </c:numCache>
                  </c:numRef>
                </c:val>
                <c:extLst>
                  <c:ext xmlns:c16="http://schemas.microsoft.com/office/drawing/2014/chart" uri="{C3380CC4-5D6E-409C-BE32-E72D297353CC}">
                    <c16:uniqueId val="{00000003-7D21-4BED-B8E0-0543E6657A39}"/>
                  </c:ext>
                </c:extLst>
              </c15:ser>
            </c15:filteredBarSeries>
          </c:ext>
        </c:extLst>
      </c:bar3DChart>
      <c:catAx>
        <c:axId val="31070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028918111"/>
        <c:crosses val="autoZero"/>
        <c:auto val="1"/>
        <c:lblAlgn val="ctr"/>
        <c:lblOffset val="100"/>
        <c:noMultiLvlLbl val="0"/>
      </c:catAx>
      <c:valAx>
        <c:axId val="202891811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10701007"/>
        <c:crosses val="autoZero"/>
        <c:crossBetween val="between"/>
      </c:valAx>
      <c:serAx>
        <c:axId val="336253935"/>
        <c:scaling>
          <c:orientation val="minMax"/>
        </c:scaling>
        <c:delete val="1"/>
        <c:axPos val="b"/>
        <c:majorTickMark val="out"/>
        <c:minorTickMark val="none"/>
        <c:tickLblPos val="nextTo"/>
        <c:crossAx val="2028918111"/>
        <c:crosses val="autoZero"/>
      </c:serAx>
      <c:spPr>
        <a:noFill/>
        <a:ln>
          <a:noFill/>
        </a:ln>
        <a:effectLst/>
      </c:spPr>
    </c:plotArea>
    <c:legend>
      <c:legendPos val="b"/>
      <c:layout>
        <c:manualLayout>
          <c:xMode val="edge"/>
          <c:yMode val="edge"/>
          <c:x val="0.15737054387188945"/>
          <c:y val="0.7882710216778458"/>
          <c:w val="0.27682009369082028"/>
          <c:h val="8.3333916593759119E-2"/>
        </c:manualLayout>
      </c:layout>
      <c:overlay val="0"/>
      <c:spPr>
        <a:noFill/>
        <a:ln>
          <a:noFill/>
        </a:ln>
        <a:effectLst>
          <a:outerShdw blurRad="50800" dist="50800" dir="3600000" algn="ctr" rotWithShape="0">
            <a:srgbClr val="000000">
              <a:alpha val="43137"/>
            </a:srgbClr>
          </a:outerShdw>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chartData>
  <cx:chart>
    <cx:title pos="t" align="ctr" overlay="1">
      <cx:tx>
        <cx:txData>
          <cx:v>Total Amount</cx:v>
        </cx:txData>
      </cx:tx>
      <cx:spPr>
        <a:noFill/>
        <a:ln>
          <a:noFill/>
        </a:ln>
      </cx:spPr>
      <cx:txPr>
        <a:bodyPr spcFirstLastPara="1" vertOverflow="ellipsis" horzOverflow="overflow" wrap="square" lIns="0" tIns="0" rIns="0" bIns="0" anchor="ctr" anchorCtr="1"/>
        <a:lstStyle/>
        <a:p>
          <a:pPr algn="ctr" rtl="0">
            <a:defRPr/>
          </a:pPr>
          <a:r>
            <a:rPr lang="en-US" sz="1400" b="1" i="0" u="none" strike="noStrike" baseline="0">
              <a:solidFill>
                <a:schemeClr val="accent1">
                  <a:lumMod val="50000"/>
                </a:schemeClr>
              </a:solidFill>
              <a:latin typeface="Calibri" panose="020F0502020204030204"/>
            </a:rPr>
            <a:t>Total Amount</a:t>
          </a:r>
        </a:p>
      </cx:txPr>
    </cx:title>
    <cx:plotArea>
      <cx:plotAreaRegion>
        <cx:series layoutId="funnel" uniqueId="{E27534B9-495A-421F-805E-AA90CBE780AE}">
          <cx:spPr>
            <a:noFill/>
            <a:ln w="6350" cap="flat" cmpd="sng" algn="ctr">
              <a:noFill/>
              <a:prstDash val="solid"/>
              <a:miter lim="800000"/>
            </a:ln>
            <a:effectLst/>
          </cx:spPr>
          <cx:dataLabels>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Calibri" panose="020F0502020204030204"/>
                </a:endParaRPr>
              </a:p>
            </cx:txPr>
            <cx:visibility seriesName="0" categoryName="0" value="1"/>
          </cx:dataLabels>
          <cx:dataId val="0"/>
        </cx:series>
      </cx:plotAreaRegion>
      <cx:axis id="0" hidden="1">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_xlchart.v2.2</cx:f>
      </cx:strDim>
      <cx:numDim type="val">
        <cx:f dir="row">_xlchart.v2.3</cx:f>
      </cx:numDim>
    </cx:data>
  </cx:chartData>
  <cx:chart>
    <cx:title pos="t" align="ctr" overlay="1">
      <cx:tx>
        <cx:rich>
          <a:bodyPr spcFirstLastPara="1" vertOverflow="ellipsis" horzOverflow="overflow" wrap="square" lIns="0" tIns="0" rIns="0" bIns="0" anchor="ctr" anchorCtr="1"/>
          <a:lstStyle/>
          <a:p>
            <a:pPr algn="ctr" rtl="0">
              <a:defRPr/>
            </a:pPr>
            <a:r>
              <a:rPr lang="en-US" sz="1400" b="1" i="0" u="none" strike="noStrike" baseline="0" dirty="0">
                <a:solidFill>
                  <a:schemeClr val="accent1">
                    <a:lumMod val="50000"/>
                  </a:schemeClr>
                </a:solidFill>
                <a:latin typeface="Calibri" panose="020F0502020204030204"/>
              </a:rPr>
              <a:t>Total</a:t>
            </a:r>
            <a:r>
              <a:rPr lang="en-US" sz="1400" b="0" i="0" u="none" strike="noStrike" baseline="0" dirty="0">
                <a:solidFill>
                  <a:sysClr val="windowText" lastClr="000000">
                    <a:lumMod val="65000"/>
                    <a:lumOff val="35000"/>
                  </a:sysClr>
                </a:solidFill>
                <a:latin typeface="Calibri" panose="020F0502020204030204"/>
              </a:rPr>
              <a:t> </a:t>
            </a:r>
            <a:r>
              <a:rPr lang="en-US" sz="1400" b="1" i="0" u="none" strike="noStrike" baseline="0" dirty="0">
                <a:solidFill>
                  <a:schemeClr val="accent1">
                    <a:lumMod val="50000"/>
                  </a:schemeClr>
                </a:solidFill>
                <a:latin typeface="Calibri" panose="020F0502020204030204"/>
              </a:rPr>
              <a:t>Customers</a:t>
            </a:r>
          </a:p>
        </cx:rich>
      </cx:tx>
    </cx:title>
    <cx:plotArea>
      <cx:plotAreaRegion>
        <cx:plotSurface>
          <cx:spPr>
            <a:noFill/>
            <a:ln>
              <a:noFill/>
            </a:ln>
          </cx:spPr>
        </cx:plotSurface>
        <cx:series layoutId="funnel" uniqueId="{0F00B402-116E-4376-96B6-64BED0932B4A}">
          <cx:spPr>
            <a:noFill/>
            <a:ln>
              <a:noFill/>
            </a:ln>
          </cx:spPr>
          <cx:dataLabels>
            <cx:txPr>
              <a:bodyPr spcFirstLastPara="1" vertOverflow="ellipsis" horzOverflow="overflow" wrap="square" lIns="0" tIns="0" rIns="0" bIns="0" anchor="ctr" anchorCtr="1"/>
              <a:lstStyle/>
              <a:p>
                <a:pPr algn="ctr" rtl="0">
                  <a:defRPr sz="1200" b="1">
                    <a:solidFill>
                      <a:schemeClr val="tx1">
                        <a:lumMod val="95000"/>
                        <a:lumOff val="5000"/>
                      </a:schemeClr>
                    </a:solidFill>
                  </a:defRPr>
                </a:pPr>
                <a:endParaRPr lang="en-US" sz="1200" b="1" i="0" u="none" strike="noStrike" baseline="0">
                  <a:solidFill>
                    <a:schemeClr val="tx1">
                      <a:lumMod val="95000"/>
                      <a:lumOff val="5000"/>
                    </a:schemeClr>
                  </a:solidFill>
                  <a:latin typeface="Calibri" panose="020F0502020204030204"/>
                </a:endParaRPr>
              </a:p>
            </cx:txPr>
            <cx:visibility seriesName="0" categoryName="0" value="1"/>
          </cx:dataLabels>
          <cx:dataId val="0"/>
        </cx:series>
      </cx:plotAreaRegion>
      <cx:axis id="0" hidden="1">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_xlchart.v2.4</cx:f>
      </cx:strDim>
      <cx:numDim type="val">
        <cx:f dir="row">_xlchart.v2.5</cx:f>
      </cx:numDim>
    </cx:data>
  </cx:chartData>
  <cx:chart>
    <cx:title pos="t" align="ctr" overlay="1">
      <cx:tx>
        <cx:rich>
          <a:bodyPr spcFirstLastPara="1" vertOverflow="ellipsis" horzOverflow="overflow" wrap="square" lIns="0" tIns="0" rIns="0" bIns="0" anchor="ctr" anchorCtr="1"/>
          <a:lstStyle/>
          <a:p>
            <a:pPr algn="ctr" rtl="0">
              <a:defRPr/>
            </a:pPr>
            <a:r>
              <a:rPr lang="en-US" sz="1400" b="1" i="0" u="none" strike="noStrike" baseline="0" dirty="0">
                <a:solidFill>
                  <a:schemeClr val="accent1">
                    <a:lumMod val="50000"/>
                  </a:schemeClr>
                </a:solidFill>
                <a:latin typeface="Calibri" panose="020F0502020204030204"/>
              </a:rPr>
              <a:t>Repeat</a:t>
            </a:r>
            <a:r>
              <a:rPr lang="en-US" sz="1400" b="0" i="0" u="none" strike="noStrike" baseline="0" dirty="0">
                <a:solidFill>
                  <a:sysClr val="windowText" lastClr="000000">
                    <a:lumMod val="65000"/>
                    <a:lumOff val="35000"/>
                  </a:sysClr>
                </a:solidFill>
                <a:latin typeface="Calibri" panose="020F0502020204030204"/>
              </a:rPr>
              <a:t> </a:t>
            </a:r>
            <a:r>
              <a:rPr lang="en-US" sz="1400" b="1" i="0" u="none" strike="noStrike" baseline="0" dirty="0">
                <a:solidFill>
                  <a:schemeClr val="accent1">
                    <a:lumMod val="50000"/>
                  </a:schemeClr>
                </a:solidFill>
                <a:latin typeface="Calibri" panose="020F0502020204030204"/>
              </a:rPr>
              <a:t>Rate</a:t>
            </a:r>
          </a:p>
        </cx:rich>
      </cx:tx>
    </cx:title>
    <cx:plotArea>
      <cx:plotAreaRegion>
        <cx:series layoutId="funnel" uniqueId="{3A02326C-3B41-4C6C-9BBD-AFD90DF4E54F}">
          <cx:spPr>
            <a:noFill/>
            <a:ln>
              <a:noFill/>
            </a:ln>
          </cx:spPr>
          <cx:dataLabels>
            <cx:txPr>
              <a:bodyPr spcFirstLastPara="1" vertOverflow="ellipsis" horzOverflow="overflow" wrap="square" lIns="0" tIns="0" rIns="0" bIns="0" anchor="ctr" anchorCtr="1"/>
              <a:lstStyle/>
              <a:p>
                <a:pPr algn="ctr" rtl="0">
                  <a:defRPr sz="1200" b="1">
                    <a:solidFill>
                      <a:schemeClr val="tx1">
                        <a:lumMod val="95000"/>
                        <a:lumOff val="5000"/>
                      </a:schemeClr>
                    </a:solidFill>
                  </a:defRPr>
                </a:pPr>
                <a:endParaRPr lang="en-US" sz="1200" b="1" i="0" u="none" strike="noStrike" baseline="0">
                  <a:solidFill>
                    <a:schemeClr val="tx1">
                      <a:lumMod val="95000"/>
                      <a:lumOff val="5000"/>
                    </a:schemeClr>
                  </a:solidFill>
                  <a:latin typeface="Calibri" panose="020F0502020204030204"/>
                </a:endParaRPr>
              </a:p>
            </cx:txPr>
            <cx:visibility seriesName="0" categoryName="0" value="1"/>
          </cx:dataLabels>
          <cx:dataId val="0"/>
        </cx:series>
      </cx:plotAreaRegion>
      <cx:axis id="0" hidden="1">
        <cx:catScaling gapWidth="0.0599999987"/>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rich>
          <a:bodyPr spcFirstLastPara="1" vertOverflow="ellipsis" horzOverflow="overflow" wrap="square" lIns="0" tIns="0" rIns="0" bIns="0" anchor="ctr" anchorCtr="1"/>
          <a:lstStyle/>
          <a:p>
            <a:pPr algn="ctr" rtl="0">
              <a:defRPr lang="en-US" sz="1000" b="1" i="0" u="none" strike="noStrike" baseline="0" dirty="0">
                <a:solidFill>
                  <a:schemeClr val="tx1">
                    <a:lumMod val="95000"/>
                    <a:lumOff val="5000"/>
                  </a:schemeClr>
                </a:solidFill>
                <a:latin typeface="Calibri" panose="020F0502020204030204"/>
                <a:ea typeface="Calibri" panose="020F0502020204030204" pitchFamily="34" charset="0"/>
                <a:cs typeface="Calibri" panose="020F0502020204030204" pitchFamily="34" charset="0"/>
              </a:defRPr>
            </a:pPr>
            <a:r>
              <a:rPr lang="en-US" sz="1400" b="1" i="0" u="none" strike="noStrike" baseline="0" dirty="0">
                <a:solidFill>
                  <a:schemeClr val="accent1">
                    <a:lumMod val="75000"/>
                  </a:schemeClr>
                </a:solidFill>
                <a:latin typeface="Calibri" panose="020F0502020204030204"/>
                <a:ea typeface="Calibri" panose="020F0502020204030204" pitchFamily="34" charset="0"/>
                <a:cs typeface="Calibri" panose="020F0502020204030204" pitchFamily="34" charset="0"/>
              </a:rPr>
              <a:t>Churn</a:t>
            </a:r>
            <a:r>
              <a:rPr lang="en-US" sz="1000" b="1" i="0" u="none" strike="noStrike" baseline="0" dirty="0">
                <a:solidFill>
                  <a:schemeClr val="tx1">
                    <a:lumMod val="95000"/>
                    <a:lumOff val="5000"/>
                  </a:schemeClr>
                </a:solidFill>
                <a:latin typeface="Calibri" panose="020F0502020204030204"/>
                <a:ea typeface="Calibri" panose="020F0502020204030204" pitchFamily="34" charset="0"/>
                <a:cs typeface="Calibri" panose="020F0502020204030204" pitchFamily="34" charset="0"/>
              </a:rPr>
              <a:t> </a:t>
            </a:r>
            <a:r>
              <a:rPr lang="en-US" sz="1400" b="1" i="0" u="none" strike="noStrike" baseline="0" dirty="0">
                <a:solidFill>
                  <a:schemeClr val="accent1">
                    <a:lumMod val="75000"/>
                  </a:schemeClr>
                </a:solidFill>
                <a:latin typeface="Calibri" panose="020F0502020204030204"/>
                <a:ea typeface="Calibri" panose="020F0502020204030204" pitchFamily="34" charset="0"/>
                <a:cs typeface="Calibri" panose="020F0502020204030204" pitchFamily="34" charset="0"/>
              </a:rPr>
              <a:t>Rate by Month</a:t>
            </a:r>
          </a:p>
        </cx:rich>
      </cx:tx>
    </cx:title>
    <cx:plotArea>
      <cx:plotAreaRegion>
        <cx:plotSurface>
          <cx:spPr>
            <a:noFill/>
            <a:ln>
              <a:noFill/>
            </a:ln>
          </cx:spPr>
        </cx:plotSurface>
        <cx:series layoutId="waterfall" uniqueId="{A06753C2-D51A-48D5-A6D7-B133C4E1CE9A}">
          <cx:tx>
            <cx:txData>
              <cx:f>_xlchart.v1.7</cx:f>
              <cx:v>Chrun Rate</cx:v>
            </cx:txData>
          </cx:tx>
          <cx:dataLabels pos="outEnd">
            <cx:txPr>
              <a:bodyPr vertOverflow="overflow" horzOverflow="overflow" wrap="square" lIns="0" tIns="0" rIns="0" bIns="0"/>
              <a:lstStyle/>
              <a:p>
                <a:pPr algn="ctr" rtl="0">
                  <a:defRPr lang="en-US" sz="1000" b="1" i="0" u="none" strike="noStrike" baseline="0" dirty="0">
                    <a:solidFill>
                      <a:schemeClr val="tx1">
                        <a:lumMod val="95000"/>
                        <a:lumOff val="5000"/>
                      </a:schemeClr>
                    </a:solidFill>
                    <a:latin typeface="Calibri" panose="020F0502020204030204"/>
                    <a:ea typeface="Calibri" panose="020F0502020204030204" pitchFamily="34" charset="0"/>
                    <a:cs typeface="Calibri" panose="020F0502020204030204" pitchFamily="34" charset="0"/>
                  </a:defRPr>
                </a:pPr>
                <a:endParaRPr lang="en-US" sz="1000" b="1" i="0" u="none" strike="noStrike" baseline="0" dirty="0">
                  <a:solidFill>
                    <a:schemeClr val="tx1">
                      <a:lumMod val="95000"/>
                      <a:lumOff val="5000"/>
                    </a:schemeClr>
                  </a:solidFill>
                  <a:latin typeface="Calibri" panose="020F0502020204030204"/>
                  <a:ea typeface="Calibri" panose="020F0502020204030204" pitchFamily="34" charset="0"/>
                  <a:cs typeface="Calibri" panose="020F0502020204030204" pitchFamily="34" charset="0"/>
                </a:endParaRPr>
              </a:p>
            </cx:txPr>
            <cx:visibility seriesName="0" categoryName="0" value="1"/>
          </cx:dataLabels>
          <cx:dataId val="0"/>
          <cx:layoutPr>
            <cx:visibility connectorLines="0"/>
            <cx:subtotals/>
          </cx:layoutPr>
        </cx:series>
      </cx:plotAreaRegion>
      <cx:axis id="0">
        <cx:catScaling gapWidth="0.5"/>
        <cx:tickLabels/>
        <cx:spPr>
          <a:ln>
            <a:noFill/>
          </a:ln>
        </cx:spPr>
        <cx:txPr>
          <a:bodyPr vertOverflow="overflow" horzOverflow="overflow" wrap="square" lIns="0" tIns="0" rIns="0" bIns="0"/>
          <a:lstStyle/>
          <a:p>
            <a:pPr algn="ctr" rtl="0">
              <a:defRPr lang="en-US" sz="1000" b="1" i="0" u="none" strike="noStrike" baseline="0" dirty="0">
                <a:solidFill>
                  <a:schemeClr val="tx1">
                    <a:lumMod val="95000"/>
                    <a:lumOff val="5000"/>
                  </a:schemeClr>
                </a:solidFill>
                <a:latin typeface="Calibri" panose="020F0502020204030204"/>
                <a:ea typeface="Calibri" panose="020F0502020204030204" pitchFamily="34" charset="0"/>
                <a:cs typeface="Calibri" panose="020F0502020204030204" pitchFamily="34" charset="0"/>
              </a:defRPr>
            </a:pPr>
            <a:endParaRPr lang="en-US" sz="1000" b="1" i="0" u="none" strike="noStrike" baseline="0" dirty="0">
              <a:solidFill>
                <a:schemeClr val="tx1">
                  <a:lumMod val="95000"/>
                  <a:lumOff val="5000"/>
                </a:schemeClr>
              </a:solidFill>
              <a:latin typeface="Calibri" panose="020F0502020204030204"/>
              <a:ea typeface="Calibri" panose="020F0502020204030204" pitchFamily="34" charset="0"/>
              <a:cs typeface="Calibri" panose="020F0502020204030204" pitchFamily="34" charset="0"/>
            </a:endParaRPr>
          </a:p>
        </cx:txPr>
      </cx:axis>
      <cx:axis id="1" hidden="1">
        <cx:valScaling/>
        <cx:tickLabels/>
        <cx:txPr>
          <a:bodyPr vertOverflow="overflow" horzOverflow="overflow" wrap="square" lIns="0" tIns="0" rIns="0" bIns="0"/>
          <a:lstStyle/>
          <a:p>
            <a:pPr algn="ctr" rtl="0">
              <a:defRPr lang="en-US" sz="1000" b="1" i="0" u="none" strike="noStrike" baseline="0" dirty="0">
                <a:solidFill>
                  <a:schemeClr val="tx1">
                    <a:lumMod val="95000"/>
                    <a:lumOff val="5000"/>
                  </a:schemeClr>
                </a:solidFill>
                <a:latin typeface="Calibri" panose="020F0502020204030204"/>
                <a:ea typeface="Calibri" panose="020F0502020204030204" pitchFamily="34" charset="0"/>
                <a:cs typeface="Calibri" panose="020F0502020204030204" pitchFamily="34" charset="0"/>
              </a:defRPr>
            </a:pPr>
            <a:endParaRPr lang="en-US" sz="1000" b="1" i="0" u="none" strike="noStrike" baseline="0" dirty="0">
              <a:solidFill>
                <a:schemeClr val="tx1">
                  <a:lumMod val="95000"/>
                  <a:lumOff val="5000"/>
                </a:schemeClr>
              </a:solidFill>
              <a:latin typeface="Calibri" panose="020F0502020204030204"/>
              <a:ea typeface="Calibri" panose="020F0502020204030204" pitchFamily="34" charset="0"/>
              <a:cs typeface="Calibri" panose="020F050202020403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5" Type="http://schemas.openxmlformats.org/officeDocument/2006/relationships/chart" Target="../charts/chart1.xml"/><Relationship Id="rId4" Type="http://schemas.microsoft.com/office/2014/relationships/chartEx" Target="../charts/chartEx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8</xdr:col>
      <xdr:colOff>447675</xdr:colOff>
      <xdr:row>3</xdr:row>
      <xdr:rowOff>142875</xdr:rowOff>
    </xdr:from>
    <xdr:to>
      <xdr:col>11</xdr:col>
      <xdr:colOff>333375</xdr:colOff>
      <xdr:row>7</xdr:row>
      <xdr:rowOff>123825</xdr:rowOff>
    </xdr:to>
    <xdr:sp macro="" textlink="">
      <xdr:nvSpPr>
        <xdr:cNvPr id="56" name="Rectangle: Rounded Corners 55">
          <a:extLst>
            <a:ext uri="{FF2B5EF4-FFF2-40B4-BE49-F238E27FC236}">
              <a16:creationId xmlns:a16="http://schemas.microsoft.com/office/drawing/2014/main" id="{B2634827-A4E8-42D2-A2A2-45E7FEFE8B57}"/>
            </a:ext>
          </a:extLst>
        </xdr:cNvPr>
        <xdr:cNvSpPr/>
      </xdr:nvSpPr>
      <xdr:spPr>
        <a:xfrm>
          <a:off x="5324475" y="714375"/>
          <a:ext cx="1714500" cy="7429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400050</xdr:colOff>
      <xdr:row>3</xdr:row>
      <xdr:rowOff>133350</xdr:rowOff>
    </xdr:from>
    <xdr:to>
      <xdr:col>8</xdr:col>
      <xdr:colOff>285750</xdr:colOff>
      <xdr:row>7</xdr:row>
      <xdr:rowOff>114300</xdr:rowOff>
    </xdr:to>
    <xdr:sp macro="" textlink="">
      <xdr:nvSpPr>
        <xdr:cNvPr id="54" name="Rectangle: Rounded Corners 53">
          <a:extLst>
            <a:ext uri="{FF2B5EF4-FFF2-40B4-BE49-F238E27FC236}">
              <a16:creationId xmlns:a16="http://schemas.microsoft.com/office/drawing/2014/main" id="{2373DD1F-9F21-48D7-B279-4EC7FE18292C}"/>
            </a:ext>
          </a:extLst>
        </xdr:cNvPr>
        <xdr:cNvSpPr/>
      </xdr:nvSpPr>
      <xdr:spPr>
        <a:xfrm>
          <a:off x="3448050" y="704850"/>
          <a:ext cx="1714500" cy="7429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457200</xdr:colOff>
      <xdr:row>3</xdr:row>
      <xdr:rowOff>171450</xdr:rowOff>
    </xdr:from>
    <xdr:to>
      <xdr:col>8</xdr:col>
      <xdr:colOff>190501</xdr:colOff>
      <xdr:row>8</xdr:row>
      <xdr:rowOff>57150</xdr:rowOff>
    </xdr:to>
    <mc:AlternateContent xmlns:mc="http://schemas.openxmlformats.org/markup-compatibility/2006">
      <mc:Choice xmlns:cx2="http://schemas.microsoft.com/office/drawing/2015/10/21/chartex" Requires="cx2">
        <xdr:graphicFrame macro="">
          <xdr:nvGraphicFramePr>
            <xdr:cNvPr id="53" name="Chart 52">
              <a:extLst>
                <a:ext uri="{FF2B5EF4-FFF2-40B4-BE49-F238E27FC236}">
                  <a16:creationId xmlns:a16="http://schemas.microsoft.com/office/drawing/2014/main" id="{A516BF95-3753-4326-B172-475DDC32E9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05200" y="742950"/>
              <a:ext cx="1562101" cy="838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514350</xdr:colOff>
      <xdr:row>3</xdr:row>
      <xdr:rowOff>171450</xdr:rowOff>
    </xdr:from>
    <xdr:to>
      <xdr:col>11</xdr:col>
      <xdr:colOff>114300</xdr:colOff>
      <xdr:row>8</xdr:row>
      <xdr:rowOff>57150</xdr:rowOff>
    </xdr:to>
    <mc:AlternateContent xmlns:mc="http://schemas.openxmlformats.org/markup-compatibility/2006">
      <mc:Choice xmlns:cx2="http://schemas.microsoft.com/office/drawing/2015/10/21/chartex" Requires="cx2">
        <xdr:graphicFrame macro="">
          <xdr:nvGraphicFramePr>
            <xdr:cNvPr id="55" name="Chart 54">
              <a:extLst>
                <a:ext uri="{FF2B5EF4-FFF2-40B4-BE49-F238E27FC236}">
                  <a16:creationId xmlns:a16="http://schemas.microsoft.com/office/drawing/2014/main" id="{15822E5E-D51A-482A-AD29-588BBB04BA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391150" y="742950"/>
              <a:ext cx="1428750" cy="838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409575</xdr:colOff>
      <xdr:row>3</xdr:row>
      <xdr:rowOff>133350</xdr:rowOff>
    </xdr:from>
    <xdr:to>
      <xdr:col>14</xdr:col>
      <xdr:colOff>295275</xdr:colOff>
      <xdr:row>7</xdr:row>
      <xdr:rowOff>114300</xdr:rowOff>
    </xdr:to>
    <xdr:sp macro="" textlink="">
      <xdr:nvSpPr>
        <xdr:cNvPr id="58" name="Rectangle: Rounded Corners 57">
          <a:extLst>
            <a:ext uri="{FF2B5EF4-FFF2-40B4-BE49-F238E27FC236}">
              <a16:creationId xmlns:a16="http://schemas.microsoft.com/office/drawing/2014/main" id="{6A866B85-B722-4C4D-9248-33A47B49AB28}"/>
            </a:ext>
          </a:extLst>
        </xdr:cNvPr>
        <xdr:cNvSpPr/>
      </xdr:nvSpPr>
      <xdr:spPr>
        <a:xfrm>
          <a:off x="7115175" y="704850"/>
          <a:ext cx="1714500" cy="7429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381000</xdr:colOff>
      <xdr:row>3</xdr:row>
      <xdr:rowOff>142876</xdr:rowOff>
    </xdr:from>
    <xdr:to>
      <xdr:col>14</xdr:col>
      <xdr:colOff>209550</xdr:colOff>
      <xdr:row>8</xdr:row>
      <xdr:rowOff>38100</xdr:rowOff>
    </xdr:to>
    <mc:AlternateContent xmlns:mc="http://schemas.openxmlformats.org/markup-compatibility/2006">
      <mc:Choice xmlns:cx2="http://schemas.microsoft.com/office/drawing/2015/10/21/chartex" Requires="cx2">
        <xdr:graphicFrame macro="">
          <xdr:nvGraphicFramePr>
            <xdr:cNvPr id="57" name="Chart 56">
              <a:extLst>
                <a:ext uri="{FF2B5EF4-FFF2-40B4-BE49-F238E27FC236}">
                  <a16:creationId xmlns:a16="http://schemas.microsoft.com/office/drawing/2014/main" id="{13AEC359-94F2-4D12-9884-DD40C44667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086600" y="714376"/>
              <a:ext cx="1657350" cy="84772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600075</xdr:colOff>
      <xdr:row>0</xdr:row>
      <xdr:rowOff>76200</xdr:rowOff>
    </xdr:from>
    <xdr:to>
      <xdr:col>13</xdr:col>
      <xdr:colOff>428625</xdr:colOff>
      <xdr:row>2</xdr:row>
      <xdr:rowOff>47625</xdr:rowOff>
    </xdr:to>
    <xdr:sp macro="" textlink="">
      <xdr:nvSpPr>
        <xdr:cNvPr id="67" name="Rectangle: Rounded Corners 66">
          <a:extLst>
            <a:ext uri="{FF2B5EF4-FFF2-40B4-BE49-F238E27FC236}">
              <a16:creationId xmlns:a16="http://schemas.microsoft.com/office/drawing/2014/main" id="{4AE6A616-4396-468C-9DD2-6EC3B8A2D8C8}"/>
            </a:ext>
          </a:extLst>
        </xdr:cNvPr>
        <xdr:cNvSpPr/>
      </xdr:nvSpPr>
      <xdr:spPr>
        <a:xfrm>
          <a:off x="4867275" y="76200"/>
          <a:ext cx="3486150" cy="3524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1400" b="1">
              <a:solidFill>
                <a:srgbClr val="002060"/>
              </a:solidFill>
            </a:rPr>
            <a:t>Loyalty</a:t>
          </a:r>
          <a:r>
            <a:rPr lang="en-GB" sz="1400" b="1" baseline="0">
              <a:solidFill>
                <a:srgbClr val="002060"/>
              </a:solidFill>
            </a:rPr>
            <a:t> Analys</a:t>
          </a:r>
          <a:endParaRPr lang="en-GB" sz="1400" b="1">
            <a:solidFill>
              <a:srgbClr val="002060"/>
            </a:solidFill>
          </a:endParaRPr>
        </a:p>
      </xdr:txBody>
    </xdr:sp>
    <xdr:clientData/>
  </xdr:twoCellAnchor>
  <xdr:twoCellAnchor>
    <xdr:from>
      <xdr:col>0</xdr:col>
      <xdr:colOff>0</xdr:colOff>
      <xdr:row>8</xdr:row>
      <xdr:rowOff>123824</xdr:rowOff>
    </xdr:from>
    <xdr:to>
      <xdr:col>10</xdr:col>
      <xdr:colOff>542925</xdr:colOff>
      <xdr:row>21</xdr:row>
      <xdr:rowOff>95249</xdr:rowOff>
    </xdr:to>
    <mc:AlternateContent xmlns:mc="http://schemas.openxmlformats.org/markup-compatibility/2006">
      <mc:Choice xmlns:cx1="http://schemas.microsoft.com/office/drawing/2015/9/8/chartex" Requires="cx1">
        <xdr:graphicFrame macro="">
          <xdr:nvGraphicFramePr>
            <xdr:cNvPr id="70" name="Chart 69">
              <a:extLst>
                <a:ext uri="{FF2B5EF4-FFF2-40B4-BE49-F238E27FC236}">
                  <a16:creationId xmlns:a16="http://schemas.microsoft.com/office/drawing/2014/main" id="{085AA581-BAA2-4DB1-A671-0A4F3B0CB9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1647824"/>
              <a:ext cx="6638925" cy="244792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342900</xdr:colOff>
      <xdr:row>8</xdr:row>
      <xdr:rowOff>0</xdr:rowOff>
    </xdr:from>
    <xdr:to>
      <xdr:col>20</xdr:col>
      <xdr:colOff>228600</xdr:colOff>
      <xdr:row>22</xdr:row>
      <xdr:rowOff>76200</xdr:rowOff>
    </xdr:to>
    <xdr:graphicFrame macro="">
      <xdr:nvGraphicFramePr>
        <xdr:cNvPr id="71" name="Chart 70">
          <a:extLst>
            <a:ext uri="{FF2B5EF4-FFF2-40B4-BE49-F238E27FC236}">
              <a16:creationId xmlns:a16="http://schemas.microsoft.com/office/drawing/2014/main" id="{9D3C75B4-8403-46FC-AA5A-3FF6D124F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400050</xdr:colOff>
      <xdr:row>5</xdr:row>
      <xdr:rowOff>161924</xdr:rowOff>
    </xdr:from>
    <xdr:to>
      <xdr:col>9</xdr:col>
      <xdr:colOff>142875</xdr:colOff>
      <xdr:row>19</xdr:row>
      <xdr:rowOff>133349</xdr:rowOff>
    </xdr:to>
    <xdr:graphicFrame macro="">
      <xdr:nvGraphicFramePr>
        <xdr:cNvPr id="2" name="Chart 1">
          <a:extLst>
            <a:ext uri="{FF2B5EF4-FFF2-40B4-BE49-F238E27FC236}">
              <a16:creationId xmlns:a16="http://schemas.microsoft.com/office/drawing/2014/main" id="{47DC881B-1969-44CB-AC5D-F355FC698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200025</xdr:colOff>
      <xdr:row>3</xdr:row>
      <xdr:rowOff>95250</xdr:rowOff>
    </xdr:from>
    <xdr:to>
      <xdr:col>20</xdr:col>
      <xdr:colOff>133351</xdr:colOff>
      <xdr:row>20</xdr:row>
      <xdr:rowOff>47624</xdr:rowOff>
    </xdr:to>
    <xdr:graphicFrame macro="">
      <xdr:nvGraphicFramePr>
        <xdr:cNvPr id="5" name="Chart 4">
          <a:extLst>
            <a:ext uri="{FF2B5EF4-FFF2-40B4-BE49-F238E27FC236}">
              <a16:creationId xmlns:a16="http://schemas.microsoft.com/office/drawing/2014/main" id="{F7C539C0-A9B5-47E4-8C07-A2BDB79A6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400050</xdr:colOff>
      <xdr:row>0</xdr:row>
      <xdr:rowOff>133350</xdr:rowOff>
    </xdr:from>
    <xdr:to>
      <xdr:col>12</xdr:col>
      <xdr:colOff>228600</xdr:colOff>
      <xdr:row>2</xdr:row>
      <xdr:rowOff>104775</xdr:rowOff>
    </xdr:to>
    <xdr:sp macro="" textlink="">
      <xdr:nvSpPr>
        <xdr:cNvPr id="7" name="Rectangle: Rounded Corners 6">
          <a:extLst>
            <a:ext uri="{FF2B5EF4-FFF2-40B4-BE49-F238E27FC236}">
              <a16:creationId xmlns:a16="http://schemas.microsoft.com/office/drawing/2014/main" id="{99700B05-D2CE-4DC6-A35F-C321287D8CA4}"/>
            </a:ext>
          </a:extLst>
        </xdr:cNvPr>
        <xdr:cNvSpPr/>
      </xdr:nvSpPr>
      <xdr:spPr>
        <a:xfrm>
          <a:off x="4057650" y="133350"/>
          <a:ext cx="3486150" cy="3524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1400" b="1">
              <a:solidFill>
                <a:srgbClr val="002060"/>
              </a:solidFill>
            </a:rPr>
            <a:t>KPI</a:t>
          </a:r>
          <a:r>
            <a:rPr lang="en-GB" sz="1400" b="1" baseline="0">
              <a:solidFill>
                <a:srgbClr val="002060"/>
              </a:solidFill>
            </a:rPr>
            <a:t> Analys</a:t>
          </a:r>
          <a:endParaRPr lang="en-GB" sz="1400" b="1">
            <a:solidFill>
              <a:srgbClr val="002060"/>
            </a:solidFill>
          </a:endParaRPr>
        </a:p>
      </xdr:txBody>
    </xdr:sp>
    <xdr:clientData/>
  </xdr:twoCellAnchor>
  <xdr:twoCellAnchor editAs="oneCell">
    <xdr:from>
      <xdr:col>0</xdr:col>
      <xdr:colOff>190500</xdr:colOff>
      <xdr:row>1</xdr:row>
      <xdr:rowOff>104775</xdr:rowOff>
    </xdr:from>
    <xdr:to>
      <xdr:col>2</xdr:col>
      <xdr:colOff>352425</xdr:colOff>
      <xdr:row>7</xdr:row>
      <xdr:rowOff>85725</xdr:rowOff>
    </xdr:to>
    <mc:AlternateContent xmlns:mc="http://schemas.openxmlformats.org/markup-compatibility/2006" xmlns:tsle="http://schemas.microsoft.com/office/drawing/2012/timeslicer">
      <mc:Choice Requires="tsle">
        <xdr:graphicFrame macro="">
          <xdr:nvGraphicFramePr>
            <xdr:cNvPr id="12" name="OrderDate">
              <a:extLst>
                <a:ext uri="{FF2B5EF4-FFF2-40B4-BE49-F238E27FC236}">
                  <a16:creationId xmlns:a16="http://schemas.microsoft.com/office/drawing/2014/main" id="{7AFEF9C3-30AB-44F3-9768-809DA50E9034}"/>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90500" y="295275"/>
              <a:ext cx="1381125" cy="11239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57150</xdr:rowOff>
    </xdr:from>
    <xdr:to>
      <xdr:col>9</xdr:col>
      <xdr:colOff>257174</xdr:colOff>
      <xdr:row>13</xdr:row>
      <xdr:rowOff>85725</xdr:rowOff>
    </xdr:to>
    <xdr:graphicFrame macro="">
      <xdr:nvGraphicFramePr>
        <xdr:cNvPr id="2" name="Chart 1">
          <a:extLst>
            <a:ext uri="{FF2B5EF4-FFF2-40B4-BE49-F238E27FC236}">
              <a16:creationId xmlns:a16="http://schemas.microsoft.com/office/drawing/2014/main" id="{9D2DA412-A1C6-41FE-A840-F1657E983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561975</xdr:colOff>
      <xdr:row>2</xdr:row>
      <xdr:rowOff>0</xdr:rowOff>
    </xdr:from>
    <xdr:to>
      <xdr:col>16</xdr:col>
      <xdr:colOff>400050</xdr:colOff>
      <xdr:row>11</xdr:row>
      <xdr:rowOff>171450</xdr:rowOff>
    </xdr:to>
    <xdr:graphicFrame macro="">
      <xdr:nvGraphicFramePr>
        <xdr:cNvPr id="4" name="Chart 3">
          <a:extLst>
            <a:ext uri="{FF2B5EF4-FFF2-40B4-BE49-F238E27FC236}">
              <a16:creationId xmlns:a16="http://schemas.microsoft.com/office/drawing/2014/main" id="{8EE2152E-5988-4109-BCD1-B6F293577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447674</xdr:colOff>
      <xdr:row>11</xdr:row>
      <xdr:rowOff>38100</xdr:rowOff>
    </xdr:from>
    <xdr:to>
      <xdr:col>18</xdr:col>
      <xdr:colOff>495299</xdr:colOff>
      <xdr:row>23</xdr:row>
      <xdr:rowOff>114300</xdr:rowOff>
    </xdr:to>
    <xdr:graphicFrame macro="">
      <xdr:nvGraphicFramePr>
        <xdr:cNvPr id="5" name="Chart 4">
          <a:extLst>
            <a:ext uri="{FF2B5EF4-FFF2-40B4-BE49-F238E27FC236}">
              <a16:creationId xmlns:a16="http://schemas.microsoft.com/office/drawing/2014/main" id="{552E92F2-7D99-45F7-BCE3-B72F7F0E7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xdr:row>
      <xdr:rowOff>95250</xdr:rowOff>
    </xdr:from>
    <xdr:to>
      <xdr:col>12</xdr:col>
      <xdr:colOff>209550</xdr:colOff>
      <xdr:row>24</xdr:row>
      <xdr:rowOff>0</xdr:rowOff>
    </xdr:to>
    <xdr:graphicFrame macro="">
      <xdr:nvGraphicFramePr>
        <xdr:cNvPr id="6" name="Chart 5">
          <a:extLst>
            <a:ext uri="{FF2B5EF4-FFF2-40B4-BE49-F238E27FC236}">
              <a16:creationId xmlns:a16="http://schemas.microsoft.com/office/drawing/2014/main" id="{3A28244F-8FF9-469E-A528-0D00D98D8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561975</xdr:colOff>
      <xdr:row>2</xdr:row>
      <xdr:rowOff>19051</xdr:rowOff>
    </xdr:from>
    <xdr:to>
      <xdr:col>19</xdr:col>
      <xdr:colOff>561975</xdr:colOff>
      <xdr:row>10</xdr:row>
      <xdr:rowOff>152401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D993A8A5-3079-44DA-B54C-17B5DEBCD3B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15575" y="400051"/>
              <a:ext cx="1828800" cy="1657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209550</xdr:colOff>
      <xdr:row>0</xdr:row>
      <xdr:rowOff>114300</xdr:rowOff>
    </xdr:from>
    <xdr:to>
      <xdr:col>12</xdr:col>
      <xdr:colOff>38100</xdr:colOff>
      <xdr:row>2</xdr:row>
      <xdr:rowOff>85725</xdr:rowOff>
    </xdr:to>
    <xdr:sp macro="" textlink="">
      <xdr:nvSpPr>
        <xdr:cNvPr id="10" name="Rectangle: Rounded Corners 9">
          <a:extLst>
            <a:ext uri="{FF2B5EF4-FFF2-40B4-BE49-F238E27FC236}">
              <a16:creationId xmlns:a16="http://schemas.microsoft.com/office/drawing/2014/main" id="{614CE467-05C0-4C3D-B3C7-06C337024F02}"/>
            </a:ext>
          </a:extLst>
        </xdr:cNvPr>
        <xdr:cNvSpPr/>
      </xdr:nvSpPr>
      <xdr:spPr>
        <a:xfrm>
          <a:off x="3867150" y="114300"/>
          <a:ext cx="3486150" cy="3524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1400" b="1">
              <a:solidFill>
                <a:srgbClr val="002060"/>
              </a:solidFill>
            </a:rPr>
            <a:t>Amount</a:t>
          </a:r>
          <a:r>
            <a:rPr lang="en-GB" sz="1400" b="1" baseline="0">
              <a:solidFill>
                <a:srgbClr val="002060"/>
              </a:solidFill>
            </a:rPr>
            <a:t> Analys</a:t>
          </a:r>
          <a:endParaRPr lang="en-GB" sz="1400" b="1">
            <a:solidFill>
              <a:srgbClr val="002060"/>
            </a:solidFill>
          </a:endParaRPr>
        </a:p>
      </xdr:txBody>
    </xdr:sp>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07.054206828703" backgroundQuery="1" createdVersion="6" refreshedVersion="6" minRefreshableVersion="3" recordCount="0" supportSubquery="1" supportAdvancedDrill="1" xr:uid="{F31AEDF7-624A-439C-8792-3F64618630B3}">
  <cacheSource type="external" connectionId="2"/>
  <cacheFields count="4">
    <cacheField name="[Data].[OrderDate (Month)].[OrderDate (Month)]" caption="OrderDate (Month)" numFmtId="0" hierarchy="10" level="1">
      <sharedItems count="12">
        <s v="Jan"/>
        <s v="Feb"/>
        <s v="Mar"/>
        <s v="Apr"/>
        <s v="May"/>
        <s v="Jun"/>
        <s v="Jul"/>
        <s v="Aug"/>
        <s v="Sep"/>
        <s v="Oct"/>
        <s v="Nov"/>
        <s v="Dec"/>
      </sharedItems>
    </cacheField>
    <cacheField name="[Data].[OrderDate (Year)].[OrderDate (Year)]" caption="OrderDate (Year)" numFmtId="0" hierarchy="9" level="1">
      <sharedItems count="2">
        <s v="2023"/>
        <s v="2024"/>
      </sharedItems>
    </cacheField>
    <cacheField name="[Measures].[Sum of Returning Flag]" caption="Sum of Returning Flag" numFmtId="0" hierarchy="18" level="32767"/>
    <cacheField name="[Measures].[Distinct Count of CustomerID]" caption="Distinct Count of CustomerID" numFmtId="0" hierarchy="17" level="32767"/>
  </cacheFields>
  <cacheHierarchies count="20">
    <cacheHierarchy uniqueName="[Data].[CustomerID]" caption="CustomerID" attribute="1" defaultMemberUniqueName="[Data].[CustomerID].[All]" allUniqueName="[Data].[CustomerID].[All]" dimensionUniqueName="[Data]" displayFolder="" count="0" memberValueDatatype="20" unbalanced="0"/>
    <cacheHierarchy uniqueName="[Data].[OrderID]" caption="OrderID" attribute="1" defaultMemberUniqueName="[Data].[OrderID].[All]" allUniqueName="[Data].[OrderID].[All]" dimensionUniqueName="[Data]" displayFolder="" count="0" memberValueDatatype="20" unbalanced="0"/>
    <cacheHierarchy uniqueName="[Data].[OrderDate]" caption="OrderDate" attribute="1" time="1" defaultMemberUniqueName="[Data].[OrderDate].[All]" allUniqueName="[Data].[OrderDate].[All]" dimensionUniqueName="[Data]" displayFolder="" count="0" memberValueDatatype="7" unbalanced="0"/>
    <cacheHierarchy uniqueName="[Data].[Amount]" caption="Amount" attribute="1" defaultMemberUniqueName="[Data].[Amount].[All]" allUniqueName="[Data].[Amount].[All]" dimensionUniqueName="[Data]" displayFolder="" count="0" memberValueDatatype="5" unbalanced="0"/>
    <cacheHierarchy uniqueName="[Data].[Product]" caption="Product" attribute="1" defaultMemberUniqueName="[Data].[Product].[All]" allUniqueName="[Data].[Product].[All]" dimensionUniqueName="[Data]" displayFolder="" count="0" memberValueDatatype="130" unbalanced="0"/>
    <cacheHierarchy uniqueName="[Data].[Region]" caption="Region" attribute="1" defaultMemberUniqueName="[Data].[Region].[All]" allUniqueName="[Data].[Region].[All]" dimensionUniqueName="[Data]" displayFolder="" count="0" memberValueDatatype="130" unbalanced="0"/>
    <cacheHierarchy uniqueName="[Data].[PurchaseCount]" caption="PurchaseCount" attribute="1" defaultMemberUniqueName="[Data].[PurchaseCount].[All]" allUniqueName="[Data].[PurchaseCount].[All]" dimensionUniqueName="[Data]" displayFolder="" count="0" memberValueDatatype="20" unbalanced="0"/>
    <cacheHierarchy uniqueName="[Data].[Year-Month]" caption="Year-Month" attribute="1" defaultMemberUniqueName="[Data].[Year-Month].[All]" allUniqueName="[Data].[Year-Month].[All]" dimensionUniqueName="[Data]" displayFolder="" count="0" memberValueDatatype="130" unbalanced="0"/>
    <cacheHierarchy uniqueName="[Data].[Returning Flag]" caption="Returning Flag" attribute="1" defaultMemberUniqueName="[Data].[Returning Flag].[All]" allUniqueName="[Data].[Returning Flag].[All]" dimensionUniqueName="[Data]" displayFolder="" count="0" memberValueDatatype="20" unbalanced="0"/>
    <cacheHierarchy uniqueName="[Data].[OrderDate (Year)]" caption="OrderDate (Year)" attribute="1" defaultMemberUniqueName="[Data].[OrderDate (Year)].[All]" allUniqueName="[Data].[OrderDate (Year)].[All]" dimensionUniqueName="[Data]" displayFolder="" count="2" memberValueDatatype="130" unbalanced="0">
      <fieldsUsage count="2">
        <fieldUsage x="-1"/>
        <fieldUsage x="1"/>
      </fieldsUsage>
    </cacheHierarchy>
    <cacheHierarchy uniqueName="[Data].[OrderDate (Month)]" caption="OrderDate (Month)" attribute="1" defaultMemberUniqueName="[Data].[OrderDate (Month)].[All]" allUniqueName="[Data].[OrderDate (Month)].[All]" dimensionUniqueName="[Data]" displayFolder="" count="2" memberValueDatatype="130" unbalanced="0">
      <fieldsUsage count="2">
        <fieldUsage x="-1"/>
        <fieldUsage x="0"/>
      </fieldsUsage>
    </cacheHierarchy>
    <cacheHierarchy uniqueName="[Data].[OrderYear]" caption="OrderYear" attribute="1" defaultMemberUniqueName="[Data].[OrderYear].[All]" allUniqueName="[Data].[OrderYear].[All]" dimensionUniqueName="[Data]" displayFolder="" count="0" memberValueDatatype="20" unbalanced="0"/>
    <cacheHierarchy uniqueName="[Data].[OrderMonth]" caption="OrderMonth" attribute="1" defaultMemberUniqueName="[Data].[OrderMonth].[All]" allUniqueName="[Data].[OrderMonth].[All]" dimensionUniqueName="[Data]" displayFolder="" count="0" memberValueDatatype="20" unbalanced="0"/>
    <cacheHierarchy uniqueName="[Data].[OrderDate (Month Index)]" caption="OrderDate (Month Index)" attribute="1" defaultMemberUniqueName="[Data].[OrderDate (Month Index)].[All]" allUniqueName="[Data].[Order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CustomerID]" caption="Sum of CustomerID" measure="1" displayFolder="" measureGroup="Data"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Data"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Returning Flag]" caption="Sum of Returning Flag" measure="1" displayFolder="" measureGroup="Data"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PurchaseCount]" caption="Sum of PurchaseCount" measure="1" displayFolder="" measureGroup="Data" count="0" hidden="1">
      <extLst>
        <ext xmlns:x15="http://schemas.microsoft.com/office/spreadsheetml/2010/11/main" uri="{B97F6D7D-B522-45F9-BDA1-12C45D357490}">
          <x15:cacheHierarchy aggregatedColumn="6"/>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07.054208680558" backgroundQuery="1" createdVersion="6" refreshedVersion="6" minRefreshableVersion="3" recordCount="0" supportSubquery="1" supportAdvancedDrill="1" xr:uid="{503C826F-A746-4F03-9FA3-7877F5B51BEC}">
  <cacheSource type="external" connectionId="2"/>
  <cacheFields count="4">
    <cacheField name="[Data].[OrderDate].[OrderDate]" caption="OrderDate" numFmtId="0" hierarchy="2" level="1">
      <sharedItems containsSemiMixedTypes="0" containsNonDate="0" containsDate="1" containsString="0" minDate="2023-01-01T00:00:00" maxDate="2024-12-01T00:00:00" count="521">
        <d v="2023-01-01T00:00:00"/>
        <d v="2023-01-03T00:00:00"/>
        <d v="2023-01-04T00:00:00"/>
        <d v="2023-01-05T00:00:00"/>
        <d v="2023-01-06T00:00:00"/>
        <d v="2023-01-07T00:00:00"/>
        <d v="2023-01-08T00:00:00"/>
        <d v="2023-01-10T00:00:00"/>
        <d v="2023-01-11T00:00:00"/>
        <d v="2023-01-12T00:00:00"/>
        <d v="2023-01-13T00:00:00"/>
        <d v="2023-01-15T00:00:00"/>
        <d v="2023-01-16T00:00:00"/>
        <d v="2023-01-17T00:00:00"/>
        <d v="2023-01-18T00:00:00"/>
        <d v="2023-01-19T00:00:00"/>
        <d v="2023-01-20T00:00:00"/>
        <d v="2023-01-21T00:00:00"/>
        <d v="2023-01-22T00:00:00"/>
        <d v="2023-01-23T00:00:00"/>
        <d v="2023-01-25T00:00:00"/>
        <d v="2023-01-26T00:00:00"/>
        <d v="2023-01-27T00:00:00"/>
        <d v="2023-01-28T00:00:00"/>
        <d v="2023-01-29T00:00:00"/>
        <d v="2023-01-31T00:00:00"/>
        <d v="2023-02-01T00:00:00"/>
        <d v="2023-02-02T00:00:00"/>
        <d v="2023-02-03T00:00:00"/>
        <d v="2023-02-06T00:00:00"/>
        <d v="2023-02-07T00:00:00"/>
        <d v="2023-02-08T00:00:00"/>
        <d v="2023-02-09T00:00:00"/>
        <d v="2023-02-10T00:00:00"/>
        <d v="2023-02-11T00:00:00"/>
        <d v="2023-02-12T00:00:00"/>
        <d v="2023-02-13T00:00:00"/>
        <d v="2023-02-15T00:00:00"/>
        <d v="2023-02-16T00:00:00"/>
        <d v="2023-02-17T00:00:00"/>
        <d v="2023-02-18T00:00:00"/>
        <d v="2023-02-20T00:00:00"/>
        <d v="2023-02-22T00:00:00"/>
        <d v="2023-02-23T00:00:00"/>
        <d v="2023-02-24T00:00:00"/>
        <d v="2023-02-25T00:00:00"/>
        <d v="2023-02-28T00:00:00"/>
        <d v="2023-03-01T00:00:00"/>
        <d v="2023-03-02T00:00:00"/>
        <d v="2023-03-03T00:00:00"/>
        <d v="2023-03-04T00:00:00"/>
        <d v="2023-03-06T00:00:00"/>
        <d v="2023-03-08T00:00:00"/>
        <d v="2023-03-10T00:00:00"/>
        <d v="2023-03-13T00:00:00"/>
        <d v="2023-03-14T00:00:00"/>
        <d v="2023-03-16T00:00:00"/>
        <d v="2023-03-19T00:00:00"/>
        <d v="2023-03-20T00:00:00"/>
        <d v="2023-03-22T00:00:00"/>
        <d v="2023-03-23T00:00:00"/>
        <d v="2023-03-24T00:00:00"/>
        <d v="2023-03-25T00:00:00"/>
        <d v="2023-03-26T00:00:00"/>
        <d v="2023-03-27T00:00:00"/>
        <d v="2023-03-28T00:00:00"/>
        <d v="2023-03-29T00:00:00"/>
        <d v="2023-03-30T00:00:00"/>
        <d v="2023-03-31T00:00:00"/>
        <d v="2023-04-02T00:00:00"/>
        <d v="2023-04-03T00:00:00"/>
        <d v="2023-04-05T00:00:00"/>
        <d v="2023-04-06T00:00:00"/>
        <d v="2023-04-07T00:00:00"/>
        <d v="2023-04-08T00:00:00"/>
        <d v="2023-04-09T00:00:00"/>
        <d v="2023-04-12T00:00:00"/>
        <d v="2023-04-13T00:00:00"/>
        <d v="2023-04-14T00:00:00"/>
        <d v="2023-04-15T00:00:00"/>
        <d v="2023-04-16T00:00:00"/>
        <d v="2023-04-17T00:00:00"/>
        <d v="2023-04-18T00:00:00"/>
        <d v="2023-04-19T00:00:00"/>
        <d v="2023-04-21T00:00:00"/>
        <d v="2023-04-23T00:00:00"/>
        <d v="2023-04-24T00:00:00"/>
        <d v="2023-04-25T00:00:00"/>
        <d v="2023-04-27T00:00:00"/>
        <d v="2023-04-28T00:00:00"/>
        <d v="2023-04-29T00:00:00"/>
        <d v="2023-04-30T00:00:00"/>
        <d v="2023-05-01T00:00:00"/>
        <d v="2023-05-04T00:00:00"/>
        <d v="2023-05-06T00:00:00"/>
        <d v="2023-05-07T00:00:00"/>
        <d v="2023-05-08T00:00:00"/>
        <d v="2023-05-10T00:00:00"/>
        <d v="2023-05-11T00:00:00"/>
        <d v="2023-05-12T00:00:00"/>
        <d v="2023-05-13T00:00:00"/>
        <d v="2023-05-14T00:00:00"/>
        <d v="2023-05-17T00:00:00"/>
        <d v="2023-05-18T00:00:00"/>
        <d v="2023-05-19T00:00:00"/>
        <d v="2023-05-20T00:00:00"/>
        <d v="2023-05-21T00:00:00"/>
        <d v="2023-05-22T00:00:00"/>
        <d v="2023-05-23T00:00:00"/>
        <d v="2023-05-24T00:00:00"/>
        <d v="2023-05-25T00:00:00"/>
        <d v="2023-05-26T00:00:00"/>
        <d v="2023-05-27T00:00:00"/>
        <d v="2023-05-28T00:00:00"/>
        <d v="2023-05-29T00:00:00"/>
        <d v="2023-05-31T00:00:00"/>
        <d v="2023-06-01T00:00:00"/>
        <d v="2023-06-02T00:00:00"/>
        <d v="2023-06-03T00:00:00"/>
        <d v="2023-06-05T00:00:00"/>
        <d v="2023-06-06T00:00:00"/>
        <d v="2023-06-07T00:00:00"/>
        <d v="2023-06-08T00:00:00"/>
        <d v="2023-06-09T00:00:00"/>
        <d v="2023-06-10T00:00:00"/>
        <d v="2023-06-11T00:00:00"/>
        <d v="2023-06-12T00:00:00"/>
        <d v="2023-06-14T00:00:00"/>
        <d v="2023-06-15T00:00:00"/>
        <d v="2023-06-17T00:00:00"/>
        <d v="2023-06-19T00:00:00"/>
        <d v="2023-06-20T00:00:00"/>
        <d v="2023-06-21T00:00:00"/>
        <d v="2023-06-22T00:00:00"/>
        <d v="2023-06-24T00:00:00"/>
        <d v="2023-06-25T00:00:00"/>
        <d v="2023-06-26T00:00:00"/>
        <d v="2023-06-27T00:00:00"/>
        <d v="2023-06-28T00:00:00"/>
        <d v="2023-06-29T00:00:00"/>
        <d v="2023-07-01T00:00:00"/>
        <d v="2023-07-02T00:00:00"/>
        <d v="2023-07-03T00:00:00"/>
        <d v="2023-07-06T00:00:00"/>
        <d v="2023-07-07T00:00:00"/>
        <d v="2023-07-10T00:00:00"/>
        <d v="2023-07-11T00:00:00"/>
        <d v="2023-07-13T00:00:00"/>
        <d v="2023-07-14T00:00:00"/>
        <d v="2023-07-15T00:00:00"/>
        <d v="2023-07-17T00:00:00"/>
        <d v="2023-07-18T00:00:00"/>
        <d v="2023-07-19T00:00:00"/>
        <d v="2023-07-20T00:00:00"/>
        <d v="2023-07-21T00:00:00"/>
        <d v="2023-07-24T00:00:00"/>
        <d v="2023-07-25T00:00:00"/>
        <d v="2023-07-26T00:00:00"/>
        <d v="2023-07-27T00:00:00"/>
        <d v="2023-07-28T00:00:00"/>
        <d v="2023-07-29T00:00:00"/>
        <d v="2023-07-31T00:00:00"/>
        <d v="2023-08-02T00:00:00"/>
        <d v="2023-08-03T00:00:00"/>
        <d v="2023-08-04T00:00:00"/>
        <d v="2023-08-05T00:00:00"/>
        <d v="2023-08-06T00:00:00"/>
        <d v="2023-08-10T00:00:00"/>
        <d v="2023-08-11T00:00:00"/>
        <d v="2023-08-12T00:00:00"/>
        <d v="2023-08-13T00:00:00"/>
        <d v="2023-08-14T00:00:00"/>
        <d v="2023-08-15T00:00:00"/>
        <d v="2023-08-16T00:00:00"/>
        <d v="2023-08-17T00:00:00"/>
        <d v="2023-08-19T00:00:00"/>
        <d v="2023-08-21T00:00:00"/>
        <d v="2023-08-23T00:00:00"/>
        <d v="2023-08-24T00:00:00"/>
        <d v="2023-08-25T00:00:00"/>
        <d v="2023-08-27T00:00:00"/>
        <d v="2023-08-30T00:00:00"/>
        <d v="2023-08-31T00:00:00"/>
        <d v="2023-09-01T00:00:00"/>
        <d v="2023-09-02T00:00:00"/>
        <d v="2023-09-06T00:00:00"/>
        <d v="2023-09-07T00:00:00"/>
        <d v="2023-09-08T00:00:00"/>
        <d v="2023-09-10T00:00:00"/>
        <d v="2023-09-11T00:00:00"/>
        <d v="2023-09-13T00:00:00"/>
        <d v="2023-09-14T00:00:00"/>
        <d v="2023-09-15T00:00:00"/>
        <d v="2023-09-16T00:00:00"/>
        <d v="2023-09-18T00:00:00"/>
        <d v="2023-09-19T00:00:00"/>
        <d v="2023-09-21T00:00:00"/>
        <d v="2023-09-23T00:00:00"/>
        <d v="2023-09-24T00:00:00"/>
        <d v="2023-09-25T00:00:00"/>
        <d v="2023-09-27T00:00:00"/>
        <d v="2023-09-28T00:00:00"/>
        <d v="2023-09-29T00:00:00"/>
        <d v="2023-09-30T00:00:00"/>
        <d v="2023-10-01T00:00:00"/>
        <d v="2023-10-02T00:00:00"/>
        <d v="2023-10-04T00:00:00"/>
        <d v="2023-10-05T00:00:00"/>
        <d v="2023-10-07T00:00:00"/>
        <d v="2023-10-08T00:00:00"/>
        <d v="2023-10-09T00:00:00"/>
        <d v="2023-10-10T00:00:00"/>
        <d v="2023-10-12T00:00:00"/>
        <d v="2023-10-13T00:00:00"/>
        <d v="2023-10-14T00:00:00"/>
        <d v="2023-10-15T00:00:00"/>
        <d v="2023-10-16T00:00:00"/>
        <d v="2023-10-18T00:00:00"/>
        <d v="2023-10-19T00:00:00"/>
        <d v="2023-10-20T00:00:00"/>
        <d v="2023-10-22T00:00:00"/>
        <d v="2023-10-23T00:00:00"/>
        <d v="2023-10-24T00:00:00"/>
        <d v="2023-10-27T00:00:00"/>
        <d v="2023-10-28T00:00:00"/>
        <d v="2023-10-29T00:00:00"/>
        <d v="2023-10-30T00:00:00"/>
        <d v="2023-11-01T00:00:00"/>
        <d v="2023-11-02T00:00:00"/>
        <d v="2023-11-04T00:00:00"/>
        <d v="2023-11-05T00:00:00"/>
        <d v="2023-11-06T00:00:00"/>
        <d v="2023-11-07T00:00:00"/>
        <d v="2023-11-08T00:00:00"/>
        <d v="2023-11-09T00:00:00"/>
        <d v="2023-11-11T00:00:00"/>
        <d v="2023-11-12T00:00:00"/>
        <d v="2023-11-14T00:00:00"/>
        <d v="2023-11-15T00:00:00"/>
        <d v="2023-11-16T00:00:00"/>
        <d v="2023-11-17T00:00:00"/>
        <d v="2023-11-18T00:00:00"/>
        <d v="2023-11-19T00:00:00"/>
        <d v="2023-11-20T00:00:00"/>
        <d v="2023-11-22T00:00:00"/>
        <d v="2023-11-23T00:00:00"/>
        <d v="2023-11-24T00:00:00"/>
        <d v="2023-11-25T00:00:00"/>
        <d v="2023-11-26T00:00:00"/>
        <d v="2023-11-28T00:00:00"/>
        <d v="2023-11-30T00:00:00"/>
        <d v="2023-12-01T00:00:00"/>
        <d v="2023-12-02T00:00:00"/>
        <d v="2023-12-03T00:00:00"/>
        <d v="2023-12-05T00:00:00"/>
        <d v="2023-12-06T00:00:00"/>
        <d v="2023-12-08T00:00:00"/>
        <d v="2023-12-10T00:00:00"/>
        <d v="2023-12-11T00:00:00"/>
        <d v="2023-12-12T00:00:00"/>
        <d v="2023-12-13T00:00:00"/>
        <d v="2023-12-14T00:00:00"/>
        <d v="2023-12-15T00:00:00"/>
        <d v="2023-12-16T00:00:00"/>
        <d v="2023-12-19T00:00:00"/>
        <d v="2023-12-22T00:00:00"/>
        <d v="2023-12-23T00:00:00"/>
        <d v="2023-12-25T00:00:00"/>
        <d v="2023-12-26T00:00:00"/>
        <d v="2023-12-27T00:00:00"/>
        <d v="2023-12-29T00:00:00"/>
        <d v="2023-12-30T00:00:00"/>
        <d v="2023-12-31T00:00:00"/>
        <d v="2024-01-01T00:00:00"/>
        <d v="2024-01-04T00:00:00"/>
        <d v="2024-01-06T00:00:00"/>
        <d v="2024-01-07T00:00:00"/>
        <d v="2024-01-09T00:00:00"/>
        <d v="2024-01-11T00:00:00"/>
        <d v="2024-01-12T00:00:00"/>
        <d v="2024-01-13T00:00:00"/>
        <d v="2024-01-14T00:00:00"/>
        <d v="2024-01-15T00:00:00"/>
        <d v="2024-01-16T00:00:00"/>
        <d v="2024-01-17T00:00:00"/>
        <d v="2024-01-20T00:00:00"/>
        <d v="2024-01-21T00:00:00"/>
        <d v="2024-01-22T00:00:00"/>
        <d v="2024-01-24T00:00:00"/>
        <d v="2024-01-26T00:00:00"/>
        <d v="2024-01-27T00:00:00"/>
        <d v="2024-01-29T00:00:00"/>
        <d v="2024-01-30T00:00:00"/>
        <d v="2024-01-31T00:00:00"/>
        <d v="2024-02-01T00:00:00"/>
        <d v="2024-02-03T00:00:00"/>
        <d v="2024-02-05T00:00:00"/>
        <d v="2024-02-06T00:00:00"/>
        <d v="2024-02-07T00:00:00"/>
        <d v="2024-02-09T00:00:00"/>
        <d v="2024-02-10T00:00:00"/>
        <d v="2024-02-11T00:00:00"/>
        <d v="2024-02-14T00:00:00"/>
        <d v="2024-02-15T00:00:00"/>
        <d v="2024-02-16T00:00:00"/>
        <d v="2024-02-18T00:00:00"/>
        <d v="2024-02-20T00:00:00"/>
        <d v="2024-02-22T00:00:00"/>
        <d v="2024-02-23T00:00:00"/>
        <d v="2024-02-24T00:00:00"/>
        <d v="2024-02-26T00:00:00"/>
        <d v="2024-02-28T00:00:00"/>
        <d v="2024-02-29T00:00:00"/>
        <d v="2024-03-01T00:00:00"/>
        <d v="2024-03-04T00:00:00"/>
        <d v="2024-03-05T00:00:00"/>
        <d v="2024-03-06T00:00:00"/>
        <d v="2024-03-07T00:00:00"/>
        <d v="2024-03-10T00:00:00"/>
        <d v="2024-03-11T00:00:00"/>
        <d v="2024-03-12T00:00:00"/>
        <d v="2024-03-13T00:00:00"/>
        <d v="2024-03-15T00:00:00"/>
        <d v="2024-03-16T00:00:00"/>
        <d v="2024-03-17T00:00:00"/>
        <d v="2024-03-18T00:00:00"/>
        <d v="2024-03-21T00:00:00"/>
        <d v="2024-03-22T00:00:00"/>
        <d v="2024-03-23T00:00:00"/>
        <d v="2024-03-24T00:00:00"/>
        <d v="2024-03-25T00:00:00"/>
        <d v="2024-03-27T00:00:00"/>
        <d v="2024-03-28T00:00:00"/>
        <d v="2024-03-29T00:00:00"/>
        <d v="2024-03-30T00:00:00"/>
        <d v="2024-04-01T00:00:00"/>
        <d v="2024-04-02T00:00:00"/>
        <d v="2024-04-03T00:00:00"/>
        <d v="2024-04-04T00:00:00"/>
        <d v="2024-04-05T00:00:00"/>
        <d v="2024-04-06T00:00:00"/>
        <d v="2024-04-07T00:00:00"/>
        <d v="2024-04-10T00:00:00"/>
        <d v="2024-04-11T00:00:00"/>
        <d v="2024-04-12T00:00:00"/>
        <d v="2024-04-13T00:00:00"/>
        <d v="2024-04-14T00:00:00"/>
        <d v="2024-04-15T00:00:00"/>
        <d v="2024-04-18T00:00:00"/>
        <d v="2024-04-19T00:00:00"/>
        <d v="2024-04-20T00:00:00"/>
        <d v="2024-04-21T00:00:00"/>
        <d v="2024-04-22T00:00:00"/>
        <d v="2024-04-25T00:00:00"/>
        <d v="2024-04-26T00:00:00"/>
        <d v="2024-04-28T00:00:00"/>
        <d v="2024-04-29T00:00:00"/>
        <d v="2024-05-02T00:00:00"/>
        <d v="2024-05-03T00:00:00"/>
        <d v="2024-05-04T00:00:00"/>
        <d v="2024-05-05T00:00:00"/>
        <d v="2024-05-06T00:00:00"/>
        <d v="2024-05-07T00:00:00"/>
        <d v="2024-05-08T00:00:00"/>
        <d v="2024-05-11T00:00:00"/>
        <d v="2024-05-12T00:00:00"/>
        <d v="2024-05-14T00:00:00"/>
        <d v="2024-05-15T00:00:00"/>
        <d v="2024-05-16T00:00:00"/>
        <d v="2024-05-17T00:00:00"/>
        <d v="2024-05-18T00:00:00"/>
        <d v="2024-05-20T00:00:00"/>
        <d v="2024-05-21T00:00:00"/>
        <d v="2024-05-22T00:00:00"/>
        <d v="2024-05-25T00:00:00"/>
        <d v="2024-05-26T00:00:00"/>
        <d v="2024-05-27T00:00:00"/>
        <d v="2024-05-28T00:00:00"/>
        <d v="2024-05-30T00:00:00"/>
        <d v="2024-05-31T00:00:00"/>
        <d v="2024-06-01T00:00:00"/>
        <d v="2024-06-02T00:00:00"/>
        <d v="2024-06-03T00:00:00"/>
        <d v="2024-06-04T00:00:00"/>
        <d v="2024-06-05T00:00:00"/>
        <d v="2024-06-06T00:00:00"/>
        <d v="2024-06-07T00:00:00"/>
        <d v="2024-06-08T00:00:00"/>
        <d v="2024-06-09T00:00:00"/>
        <d v="2024-06-10T00:00:00"/>
        <d v="2024-06-12T00:00:00"/>
        <d v="2024-06-15T00:00:00"/>
        <d v="2024-06-17T00:00:00"/>
        <d v="2024-06-18T00:00:00"/>
        <d v="2024-06-19T00:00:00"/>
        <d v="2024-06-20T00:00:00"/>
        <d v="2024-06-21T00:00:00"/>
        <d v="2024-06-22T00:00:00"/>
        <d v="2024-06-24T00:00:00"/>
        <d v="2024-06-25T00:00:00"/>
        <d v="2024-06-26T00:00:00"/>
        <d v="2024-06-29T00:00:00"/>
        <d v="2024-06-30T00:00:00"/>
        <d v="2024-07-01T00:00:00"/>
        <d v="2024-07-03T00:00:00"/>
        <d v="2024-07-04T00:00:00"/>
        <d v="2024-07-05T00:00:00"/>
        <d v="2024-07-07T00:00:00"/>
        <d v="2024-07-10T00:00:00"/>
        <d v="2024-07-11T00:00:00"/>
        <d v="2024-07-12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6T00:00:00"/>
        <d v="2024-08-07T00:00:00"/>
        <d v="2024-08-08T00:00:00"/>
        <d v="2024-08-10T00:00:00"/>
        <d v="2024-08-11T00:00:00"/>
        <d v="2024-08-12T00:00:00"/>
        <d v="2024-08-13T00:00:00"/>
        <d v="2024-08-14T00:00:00"/>
        <d v="2024-08-15T00:00:00"/>
        <d v="2024-08-16T00:00:00"/>
        <d v="2024-08-17T00:00:00"/>
        <d v="2024-08-18T00:00:00"/>
        <d v="2024-08-20T00:00:00"/>
        <d v="2024-08-21T00:00:00"/>
        <d v="2024-08-23T00:00:00"/>
        <d v="2024-08-24T00:00:00"/>
        <d v="2024-08-26T00:00:00"/>
        <d v="2024-08-27T00:00:00"/>
        <d v="2024-08-28T00:00:00"/>
        <d v="2024-08-29T00:00:00"/>
        <d v="2024-08-30T00:00:00"/>
        <d v="2024-08-31T00:00:00"/>
        <d v="2024-09-01T00:00:00"/>
        <d v="2024-09-04T00:00:00"/>
        <d v="2024-09-06T00:00:00"/>
        <d v="2024-09-07T00:00:00"/>
        <d v="2024-09-08T00:00:00"/>
        <d v="2024-09-11T00:00:00"/>
        <d v="2024-09-13T00:00:00"/>
        <d v="2024-09-14T00:00:00"/>
        <d v="2024-09-15T00:00:00"/>
        <d v="2024-09-16T00:00:00"/>
        <d v="2024-09-18T00:00:00"/>
        <d v="2024-09-20T00:00:00"/>
        <d v="2024-09-21T00:00:00"/>
        <d v="2024-09-22T00:00:00"/>
        <d v="2024-09-23T00:00:00"/>
        <d v="2024-09-25T00:00:00"/>
        <d v="2024-09-26T00:00:00"/>
        <d v="2024-09-28T00:00:00"/>
        <d v="2024-09-30T00:00:00"/>
        <d v="2024-10-01T00:00:00"/>
        <d v="2024-10-02T00:00:00"/>
        <d v="2024-10-03T00:00:00"/>
        <d v="2024-10-04T00:00:00"/>
        <d v="2024-10-05T00:00:00"/>
        <d v="2024-10-06T00:00:00"/>
        <d v="2024-10-07T00:00:00"/>
        <d v="2024-10-09T00:00:00"/>
        <d v="2024-10-10T00:00:00"/>
        <d v="2024-10-11T00:00:00"/>
        <d v="2024-10-15T00:00:00"/>
        <d v="2024-10-16T00:00:00"/>
        <d v="2024-10-18T00:00:00"/>
        <d v="2024-10-20T00:00:00"/>
        <d v="2024-10-21T00:00:00"/>
        <d v="2024-10-22T00:00:00"/>
        <d v="2024-10-23T00:00:00"/>
        <d v="2024-10-24T00:00:00"/>
        <d v="2024-10-25T00:00:00"/>
        <d v="2024-10-26T00:00:00"/>
        <d v="2024-10-27T00:00:00"/>
        <d v="2024-10-28T00:00:00"/>
        <d v="2024-10-30T00:00:00"/>
        <d v="2024-10-31T00:00:00"/>
        <d v="2024-11-02T00:00:00"/>
        <d v="2024-11-03T00:00:00"/>
        <d v="2024-11-04T00:00:00"/>
        <d v="2024-11-05T00:00:00"/>
        <d v="2024-11-06T00:00:00"/>
        <d v="2024-11-07T00:00:00"/>
        <d v="2024-11-08T00:00:00"/>
        <d v="2024-11-11T00:00:00"/>
        <d v="2024-11-12T00:00:00"/>
        <d v="2024-11-13T00:00:00"/>
        <d v="2024-11-15T00:00:00"/>
        <d v="2024-11-16T00:00:00"/>
        <d v="2024-11-17T00:00:00"/>
        <d v="2024-11-18T00:00:00"/>
        <d v="2024-11-19T00:00:00"/>
        <d v="2024-11-20T00:00:00"/>
        <d v="2024-11-21T00:00:00"/>
        <d v="2024-11-22T00:00:00"/>
        <d v="2024-11-23T00:00:00"/>
        <d v="2024-11-26T00:00:00"/>
        <d v="2024-11-27T00:00:00"/>
        <d v="2024-11-28T00:00:00"/>
        <d v="2024-11-29T00:00:00"/>
        <d v="2024-11-30T00:00:00"/>
      </sharedItems>
    </cacheField>
    <cacheField name="[Measures].[Distinct Count of CustomerID]" caption="Distinct Count of CustomerID" numFmtId="0" hierarchy="17" level="32767"/>
    <cacheField name="[Data].[OrderDate (Month)].[OrderDate (Month)]" caption="OrderDate (Month)" numFmtId="0" hierarchy="10" level="1">
      <sharedItems count="12">
        <s v="Jan"/>
        <s v="Feb"/>
        <s v="Mar"/>
        <s v="Apr"/>
        <s v="May"/>
        <s v="Jun"/>
        <s v="Jul"/>
        <s v="Aug"/>
        <s v="Sep"/>
        <s v="Oct"/>
        <s v="Nov"/>
        <s v="Dec"/>
      </sharedItems>
    </cacheField>
    <cacheField name="[Data].[OrderDate (Year)].[OrderDate (Year)]" caption="OrderDate (Year)" numFmtId="0" hierarchy="9" level="1">
      <sharedItems count="2">
        <s v="2023"/>
        <s v="2024"/>
      </sharedItems>
    </cacheField>
  </cacheFields>
  <cacheHierarchies count="20">
    <cacheHierarchy uniqueName="[Data].[CustomerID]" caption="CustomerID" attribute="1" defaultMemberUniqueName="[Data].[CustomerID].[All]" allUniqueName="[Data].[CustomerID].[All]" dimensionUniqueName="[Data]" displayFolder="" count="0" memberValueDatatype="20" unbalanced="0"/>
    <cacheHierarchy uniqueName="[Data].[OrderID]" caption="OrderID" attribute="1" defaultMemberUniqueName="[Data].[OrderID].[All]" allUniqueName="[Data].[OrderID].[All]" dimensionUniqueName="[Data]" displayFolder="" count="0" memberValueDatatype="20" unbalanced="0"/>
    <cacheHierarchy uniqueName="[Data].[OrderDate]" caption="OrderDate" attribute="1" time="1" defaultMemberUniqueName="[Data].[OrderDate].[All]" allUniqueName="[Data].[OrderDate].[All]" dimensionUniqueName="[Data]" displayFolder="" count="2" memberValueDatatype="7"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roduct]" caption="Product" attribute="1" defaultMemberUniqueName="[Data].[Product].[All]" allUniqueName="[Data].[Product].[All]" dimensionUniqueName="[Data]" displayFolder="" count="0" memberValueDatatype="130" unbalanced="0"/>
    <cacheHierarchy uniqueName="[Data].[Region]" caption="Region" attribute="1" defaultMemberUniqueName="[Data].[Region].[All]" allUniqueName="[Data].[Region].[All]" dimensionUniqueName="[Data]" displayFolder="" count="0" memberValueDatatype="130" unbalanced="0"/>
    <cacheHierarchy uniqueName="[Data].[PurchaseCount]" caption="PurchaseCount" attribute="1" defaultMemberUniqueName="[Data].[PurchaseCount].[All]" allUniqueName="[Data].[PurchaseCount].[All]" dimensionUniqueName="[Data]" displayFolder="" count="0" memberValueDatatype="20" unbalanced="0"/>
    <cacheHierarchy uniqueName="[Data].[Year-Month]" caption="Year-Month" attribute="1" defaultMemberUniqueName="[Data].[Year-Month].[All]" allUniqueName="[Data].[Year-Month].[All]" dimensionUniqueName="[Data]" displayFolder="" count="0" memberValueDatatype="130" unbalanced="0"/>
    <cacheHierarchy uniqueName="[Data].[Returning Flag]" caption="Returning Flag" attribute="1" defaultMemberUniqueName="[Data].[Returning Flag].[All]" allUniqueName="[Data].[Returning Flag].[All]" dimensionUniqueName="[Data]" displayFolder="" count="0" memberValueDatatype="20" unbalanced="0"/>
    <cacheHierarchy uniqueName="[Data].[OrderDate (Year)]" caption="OrderDate (Year)" attribute="1" defaultMemberUniqueName="[Data].[OrderDate (Year)].[All]" allUniqueName="[Data].[OrderDate (Year)].[All]" dimensionUniqueName="[Data]" displayFolder="" count="2" memberValueDatatype="130" unbalanced="0">
      <fieldsUsage count="2">
        <fieldUsage x="-1"/>
        <fieldUsage x="3"/>
      </fieldsUsage>
    </cacheHierarchy>
    <cacheHierarchy uniqueName="[Data].[OrderDate (Month)]" caption="OrderDate (Month)" attribute="1" defaultMemberUniqueName="[Data].[OrderDate (Month)].[All]" allUniqueName="[Data].[OrderDate (Month)].[All]" dimensionUniqueName="[Data]" displayFolder="" count="2" memberValueDatatype="130" unbalanced="0">
      <fieldsUsage count="2">
        <fieldUsage x="-1"/>
        <fieldUsage x="2"/>
      </fieldsUsage>
    </cacheHierarchy>
    <cacheHierarchy uniqueName="[Data].[OrderYear]" caption="OrderYear" attribute="1" defaultMemberUniqueName="[Data].[OrderYear].[All]" allUniqueName="[Data].[OrderYear].[All]" dimensionUniqueName="[Data]" displayFolder="" count="0" memberValueDatatype="20" unbalanced="0"/>
    <cacheHierarchy uniqueName="[Data].[OrderMonth]" caption="OrderMonth" attribute="1" defaultMemberUniqueName="[Data].[OrderMonth].[All]" allUniqueName="[Data].[OrderMonth].[All]" dimensionUniqueName="[Data]" displayFolder="" count="0" memberValueDatatype="20" unbalanced="0"/>
    <cacheHierarchy uniqueName="[Data].[OrderDate (Month Index)]" caption="OrderDate (Month Index)" attribute="1" defaultMemberUniqueName="[Data].[OrderDate (Month Index)].[All]" allUniqueName="[Data].[Order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CustomerID]" caption="Sum of CustomerID" measure="1" displayFolder="" measureGroup="Data"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turning Flag]" caption="Sum of Returning Flag" measure="1" displayFolder="" measureGroup="Data" count="0" hidden="1">
      <extLst>
        <ext xmlns:x15="http://schemas.microsoft.com/office/spreadsheetml/2010/11/main" uri="{B97F6D7D-B522-45F9-BDA1-12C45D357490}">
          <x15:cacheHierarchy aggregatedColumn="8"/>
        </ext>
      </extLst>
    </cacheHierarchy>
    <cacheHierarchy uniqueName="[Measures].[Sum of PurchaseCount]" caption="Sum of PurchaseCount" measure="1" displayFolder="" measureGroup="Data" count="0" hidden="1">
      <extLst>
        <ext xmlns:x15="http://schemas.microsoft.com/office/spreadsheetml/2010/11/main" uri="{B97F6D7D-B522-45F9-BDA1-12C45D357490}">
          <x15:cacheHierarchy aggregatedColumn="6"/>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007.054217939818" createdVersion="6" refreshedVersion="6" minRefreshableVersion="3" recordCount="1000" xr:uid="{00000000-000A-0000-FFFF-FFFF02000000}">
  <cacheSource type="worksheet">
    <worksheetSource name="Data"/>
  </cacheSource>
  <cacheFields count="13">
    <cacheField name="CustomerID" numFmtId="0">
      <sharedItems containsSemiMixedTypes="0" containsString="0" containsNumber="1" containsInteger="1" minValue="1000" maxValue="1998"/>
    </cacheField>
    <cacheField name="OrderID" numFmtId="0">
      <sharedItems containsSemiMixedTypes="0" containsString="0" containsNumber="1" containsInteger="1" minValue="1" maxValue="1000"/>
    </cacheField>
    <cacheField name="OrderDate" numFmtId="14">
      <sharedItems containsSemiMixedTypes="0" containsNonDate="0" containsDate="1" containsString="0" minDate="2023-01-01T00:00:00" maxDate="2024-12-01T00:00:00" count="521">
        <d v="2023-01-01T00:00:00"/>
        <d v="2023-01-03T00:00:00"/>
        <d v="2023-01-04T00:00:00"/>
        <d v="2023-01-05T00:00:00"/>
        <d v="2023-01-06T00:00:00"/>
        <d v="2023-01-07T00:00:00"/>
        <d v="2023-01-08T00:00:00"/>
        <d v="2023-01-10T00:00:00"/>
        <d v="2023-01-11T00:00:00"/>
        <d v="2023-01-12T00:00:00"/>
        <d v="2023-01-13T00:00:00"/>
        <d v="2023-01-15T00:00:00"/>
        <d v="2023-01-16T00:00:00"/>
        <d v="2023-01-17T00:00:00"/>
        <d v="2023-01-18T00:00:00"/>
        <d v="2023-01-19T00:00:00"/>
        <d v="2023-01-20T00:00:00"/>
        <d v="2023-01-21T00:00:00"/>
        <d v="2023-01-22T00:00:00"/>
        <d v="2023-01-23T00:00:00"/>
        <d v="2023-01-25T00:00:00"/>
        <d v="2023-01-26T00:00:00"/>
        <d v="2023-01-27T00:00:00"/>
        <d v="2023-01-28T00:00:00"/>
        <d v="2023-01-29T00:00:00"/>
        <d v="2023-01-31T00:00:00"/>
        <d v="2023-02-01T00:00:00"/>
        <d v="2023-02-02T00:00:00"/>
        <d v="2023-02-03T00:00:00"/>
        <d v="2023-02-06T00:00:00"/>
        <d v="2023-02-07T00:00:00"/>
        <d v="2023-02-08T00:00:00"/>
        <d v="2023-02-09T00:00:00"/>
        <d v="2023-02-10T00:00:00"/>
        <d v="2023-02-11T00:00:00"/>
        <d v="2023-02-12T00:00:00"/>
        <d v="2023-02-13T00:00:00"/>
        <d v="2023-02-15T00:00:00"/>
        <d v="2023-02-16T00:00:00"/>
        <d v="2023-02-17T00:00:00"/>
        <d v="2023-02-18T00:00:00"/>
        <d v="2023-02-20T00:00:00"/>
        <d v="2023-02-22T00:00:00"/>
        <d v="2023-02-23T00:00:00"/>
        <d v="2023-02-24T00:00:00"/>
        <d v="2023-02-25T00:00:00"/>
        <d v="2023-02-28T00:00:00"/>
        <d v="2023-03-01T00:00:00"/>
        <d v="2023-03-02T00:00:00"/>
        <d v="2023-03-03T00:00:00"/>
        <d v="2023-03-04T00:00:00"/>
        <d v="2023-03-06T00:00:00"/>
        <d v="2023-03-08T00:00:00"/>
        <d v="2023-03-10T00:00:00"/>
        <d v="2023-03-13T00:00:00"/>
        <d v="2023-03-14T00:00:00"/>
        <d v="2023-03-16T00:00:00"/>
        <d v="2023-03-19T00:00:00"/>
        <d v="2023-03-20T00:00:00"/>
        <d v="2023-03-22T00:00:00"/>
        <d v="2023-03-23T00:00:00"/>
        <d v="2023-03-24T00:00:00"/>
        <d v="2023-03-25T00:00:00"/>
        <d v="2023-03-26T00:00:00"/>
        <d v="2023-03-27T00:00:00"/>
        <d v="2023-03-28T00:00:00"/>
        <d v="2023-03-29T00:00:00"/>
        <d v="2023-03-30T00:00:00"/>
        <d v="2023-03-31T00:00:00"/>
        <d v="2023-04-02T00:00:00"/>
        <d v="2023-04-03T00:00:00"/>
        <d v="2023-04-05T00:00:00"/>
        <d v="2023-04-06T00:00:00"/>
        <d v="2023-04-07T00:00:00"/>
        <d v="2023-04-08T00:00:00"/>
        <d v="2023-04-09T00:00:00"/>
        <d v="2023-04-12T00:00:00"/>
        <d v="2023-04-13T00:00:00"/>
        <d v="2023-04-14T00:00:00"/>
        <d v="2023-04-15T00:00:00"/>
        <d v="2023-04-16T00:00:00"/>
        <d v="2023-04-17T00:00:00"/>
        <d v="2023-04-18T00:00:00"/>
        <d v="2023-04-19T00:00:00"/>
        <d v="2023-04-21T00:00:00"/>
        <d v="2023-04-23T00:00:00"/>
        <d v="2023-04-24T00:00:00"/>
        <d v="2023-04-25T00:00:00"/>
        <d v="2023-04-27T00:00:00"/>
        <d v="2023-04-28T00:00:00"/>
        <d v="2023-04-29T00:00:00"/>
        <d v="2023-04-30T00:00:00"/>
        <d v="2023-05-01T00:00:00"/>
        <d v="2023-05-04T00:00:00"/>
        <d v="2023-05-06T00:00:00"/>
        <d v="2023-05-07T00:00:00"/>
        <d v="2023-05-08T00:00:00"/>
        <d v="2023-05-10T00:00:00"/>
        <d v="2023-05-11T00:00:00"/>
        <d v="2023-05-12T00:00:00"/>
        <d v="2023-05-13T00:00:00"/>
        <d v="2023-05-14T00:00:00"/>
        <d v="2023-05-17T00:00:00"/>
        <d v="2023-05-18T00:00:00"/>
        <d v="2023-05-19T00:00:00"/>
        <d v="2023-05-20T00:00:00"/>
        <d v="2023-05-21T00:00:00"/>
        <d v="2023-05-22T00:00:00"/>
        <d v="2023-05-23T00:00:00"/>
        <d v="2023-05-24T00:00:00"/>
        <d v="2023-05-25T00:00:00"/>
        <d v="2023-05-26T00:00:00"/>
        <d v="2023-05-27T00:00:00"/>
        <d v="2023-05-28T00:00:00"/>
        <d v="2023-05-29T00:00:00"/>
        <d v="2023-05-31T00:00:00"/>
        <d v="2023-06-01T00:00:00"/>
        <d v="2023-06-02T00:00:00"/>
        <d v="2023-06-03T00:00:00"/>
        <d v="2023-06-05T00:00:00"/>
        <d v="2023-06-06T00:00:00"/>
        <d v="2023-06-07T00:00:00"/>
        <d v="2023-06-08T00:00:00"/>
        <d v="2023-06-09T00:00:00"/>
        <d v="2023-06-10T00:00:00"/>
        <d v="2023-06-11T00:00:00"/>
        <d v="2023-06-12T00:00:00"/>
        <d v="2023-06-14T00:00:00"/>
        <d v="2023-06-15T00:00:00"/>
        <d v="2023-06-17T00:00:00"/>
        <d v="2023-06-19T00:00:00"/>
        <d v="2023-06-20T00:00:00"/>
        <d v="2023-06-21T00:00:00"/>
        <d v="2023-06-22T00:00:00"/>
        <d v="2023-06-24T00:00:00"/>
        <d v="2023-06-25T00:00:00"/>
        <d v="2023-06-26T00:00:00"/>
        <d v="2023-06-27T00:00:00"/>
        <d v="2023-06-28T00:00:00"/>
        <d v="2023-06-29T00:00:00"/>
        <d v="2023-07-01T00:00:00"/>
        <d v="2023-07-02T00:00:00"/>
        <d v="2023-07-03T00:00:00"/>
        <d v="2023-07-06T00:00:00"/>
        <d v="2023-07-07T00:00:00"/>
        <d v="2023-07-10T00:00:00"/>
        <d v="2023-07-11T00:00:00"/>
        <d v="2023-07-13T00:00:00"/>
        <d v="2023-07-14T00:00:00"/>
        <d v="2023-07-15T00:00:00"/>
        <d v="2023-07-17T00:00:00"/>
        <d v="2023-07-18T00:00:00"/>
        <d v="2023-07-19T00:00:00"/>
        <d v="2023-07-20T00:00:00"/>
        <d v="2023-07-21T00:00:00"/>
        <d v="2023-07-24T00:00:00"/>
        <d v="2023-07-25T00:00:00"/>
        <d v="2023-07-26T00:00:00"/>
        <d v="2023-07-27T00:00:00"/>
        <d v="2023-07-28T00:00:00"/>
        <d v="2023-07-29T00:00:00"/>
        <d v="2023-07-31T00:00:00"/>
        <d v="2023-08-02T00:00:00"/>
        <d v="2023-08-03T00:00:00"/>
        <d v="2023-08-04T00:00:00"/>
        <d v="2023-08-05T00:00:00"/>
        <d v="2023-08-06T00:00:00"/>
        <d v="2023-08-10T00:00:00"/>
        <d v="2023-08-11T00:00:00"/>
        <d v="2023-08-12T00:00:00"/>
        <d v="2023-08-13T00:00:00"/>
        <d v="2023-08-14T00:00:00"/>
        <d v="2023-08-15T00:00:00"/>
        <d v="2023-08-16T00:00:00"/>
        <d v="2023-08-17T00:00:00"/>
        <d v="2023-08-19T00:00:00"/>
        <d v="2023-08-21T00:00:00"/>
        <d v="2023-08-23T00:00:00"/>
        <d v="2023-08-24T00:00:00"/>
        <d v="2023-08-25T00:00:00"/>
        <d v="2023-08-27T00:00:00"/>
        <d v="2023-08-30T00:00:00"/>
        <d v="2023-08-31T00:00:00"/>
        <d v="2023-09-01T00:00:00"/>
        <d v="2023-09-02T00:00:00"/>
        <d v="2023-09-06T00:00:00"/>
        <d v="2023-09-07T00:00:00"/>
        <d v="2023-09-08T00:00:00"/>
        <d v="2023-09-10T00:00:00"/>
        <d v="2023-09-11T00:00:00"/>
        <d v="2023-09-13T00:00:00"/>
        <d v="2023-09-14T00:00:00"/>
        <d v="2023-09-15T00:00:00"/>
        <d v="2023-09-16T00:00:00"/>
        <d v="2023-09-18T00:00:00"/>
        <d v="2023-09-19T00:00:00"/>
        <d v="2023-09-21T00:00:00"/>
        <d v="2023-09-23T00:00:00"/>
        <d v="2023-09-24T00:00:00"/>
        <d v="2023-09-25T00:00:00"/>
        <d v="2023-09-27T00:00:00"/>
        <d v="2023-09-28T00:00:00"/>
        <d v="2023-09-29T00:00:00"/>
        <d v="2023-09-30T00:00:00"/>
        <d v="2023-10-01T00:00:00"/>
        <d v="2023-10-02T00:00:00"/>
        <d v="2023-10-04T00:00:00"/>
        <d v="2023-10-05T00:00:00"/>
        <d v="2023-10-07T00:00:00"/>
        <d v="2023-10-08T00:00:00"/>
        <d v="2023-10-09T00:00:00"/>
        <d v="2023-10-10T00:00:00"/>
        <d v="2023-10-12T00:00:00"/>
        <d v="2023-10-13T00:00:00"/>
        <d v="2023-10-14T00:00:00"/>
        <d v="2023-10-15T00:00:00"/>
        <d v="2023-10-16T00:00:00"/>
        <d v="2023-10-18T00:00:00"/>
        <d v="2023-10-19T00:00:00"/>
        <d v="2023-10-20T00:00:00"/>
        <d v="2023-10-22T00:00:00"/>
        <d v="2023-10-23T00:00:00"/>
        <d v="2023-10-24T00:00:00"/>
        <d v="2023-10-27T00:00:00"/>
        <d v="2023-10-28T00:00:00"/>
        <d v="2023-10-29T00:00:00"/>
        <d v="2023-10-30T00:00:00"/>
        <d v="2023-11-01T00:00:00"/>
        <d v="2023-11-02T00:00:00"/>
        <d v="2023-11-04T00:00:00"/>
        <d v="2023-11-05T00:00:00"/>
        <d v="2023-11-06T00:00:00"/>
        <d v="2023-11-07T00:00:00"/>
        <d v="2023-11-08T00:00:00"/>
        <d v="2023-11-09T00:00:00"/>
        <d v="2023-11-11T00:00:00"/>
        <d v="2023-11-12T00:00:00"/>
        <d v="2023-11-14T00:00:00"/>
        <d v="2023-11-15T00:00:00"/>
        <d v="2023-11-16T00:00:00"/>
        <d v="2023-11-17T00:00:00"/>
        <d v="2023-11-18T00:00:00"/>
        <d v="2023-11-19T00:00:00"/>
        <d v="2023-11-20T00:00:00"/>
        <d v="2023-11-22T00:00:00"/>
        <d v="2023-11-23T00:00:00"/>
        <d v="2023-11-24T00:00:00"/>
        <d v="2023-11-25T00:00:00"/>
        <d v="2023-11-26T00:00:00"/>
        <d v="2023-11-28T00:00:00"/>
        <d v="2023-11-30T00:00:00"/>
        <d v="2023-12-01T00:00:00"/>
        <d v="2023-12-02T00:00:00"/>
        <d v="2023-12-03T00:00:00"/>
        <d v="2023-12-05T00:00:00"/>
        <d v="2023-12-06T00:00:00"/>
        <d v="2023-12-08T00:00:00"/>
        <d v="2023-12-10T00:00:00"/>
        <d v="2023-12-11T00:00:00"/>
        <d v="2023-12-12T00:00:00"/>
        <d v="2023-12-13T00:00:00"/>
        <d v="2023-12-14T00:00:00"/>
        <d v="2023-12-15T00:00:00"/>
        <d v="2023-12-16T00:00:00"/>
        <d v="2023-12-19T00:00:00"/>
        <d v="2023-12-22T00:00:00"/>
        <d v="2023-12-23T00:00:00"/>
        <d v="2023-12-25T00:00:00"/>
        <d v="2023-12-26T00:00:00"/>
        <d v="2023-12-27T00:00:00"/>
        <d v="2023-12-29T00:00:00"/>
        <d v="2023-12-30T00:00:00"/>
        <d v="2023-12-31T00:00:00"/>
        <d v="2024-01-01T00:00:00"/>
        <d v="2024-01-04T00:00:00"/>
        <d v="2024-01-06T00:00:00"/>
        <d v="2024-01-07T00:00:00"/>
        <d v="2024-01-09T00:00:00"/>
        <d v="2024-01-11T00:00:00"/>
        <d v="2024-01-12T00:00:00"/>
        <d v="2024-01-13T00:00:00"/>
        <d v="2024-01-14T00:00:00"/>
        <d v="2024-01-15T00:00:00"/>
        <d v="2024-01-16T00:00:00"/>
        <d v="2024-01-17T00:00:00"/>
        <d v="2024-01-20T00:00:00"/>
        <d v="2024-01-21T00:00:00"/>
        <d v="2024-01-22T00:00:00"/>
        <d v="2024-01-24T00:00:00"/>
        <d v="2024-01-26T00:00:00"/>
        <d v="2024-01-27T00:00:00"/>
        <d v="2024-01-29T00:00:00"/>
        <d v="2024-01-30T00:00:00"/>
        <d v="2024-01-31T00:00:00"/>
        <d v="2024-02-01T00:00:00"/>
        <d v="2024-02-03T00:00:00"/>
        <d v="2024-02-05T00:00:00"/>
        <d v="2024-02-06T00:00:00"/>
        <d v="2024-02-07T00:00:00"/>
        <d v="2024-02-09T00:00:00"/>
        <d v="2024-02-10T00:00:00"/>
        <d v="2024-02-11T00:00:00"/>
        <d v="2024-02-14T00:00:00"/>
        <d v="2024-02-15T00:00:00"/>
        <d v="2024-02-16T00:00:00"/>
        <d v="2024-02-18T00:00:00"/>
        <d v="2024-02-20T00:00:00"/>
        <d v="2024-02-22T00:00:00"/>
        <d v="2024-02-23T00:00:00"/>
        <d v="2024-02-24T00:00:00"/>
        <d v="2024-02-26T00:00:00"/>
        <d v="2024-02-28T00:00:00"/>
        <d v="2024-02-29T00:00:00"/>
        <d v="2024-03-01T00:00:00"/>
        <d v="2024-03-04T00:00:00"/>
        <d v="2024-03-05T00:00:00"/>
        <d v="2024-03-06T00:00:00"/>
        <d v="2024-03-07T00:00:00"/>
        <d v="2024-03-10T00:00:00"/>
        <d v="2024-03-11T00:00:00"/>
        <d v="2024-03-12T00:00:00"/>
        <d v="2024-03-13T00:00:00"/>
        <d v="2024-03-15T00:00:00"/>
        <d v="2024-03-16T00:00:00"/>
        <d v="2024-03-17T00:00:00"/>
        <d v="2024-03-18T00:00:00"/>
        <d v="2024-03-21T00:00:00"/>
        <d v="2024-03-22T00:00:00"/>
        <d v="2024-03-23T00:00:00"/>
        <d v="2024-03-24T00:00:00"/>
        <d v="2024-03-25T00:00:00"/>
        <d v="2024-03-27T00:00:00"/>
        <d v="2024-03-28T00:00:00"/>
        <d v="2024-03-29T00:00:00"/>
        <d v="2024-03-30T00:00:00"/>
        <d v="2024-04-01T00:00:00"/>
        <d v="2024-04-02T00:00:00"/>
        <d v="2024-04-03T00:00:00"/>
        <d v="2024-04-04T00:00:00"/>
        <d v="2024-04-05T00:00:00"/>
        <d v="2024-04-06T00:00:00"/>
        <d v="2024-04-07T00:00:00"/>
        <d v="2024-04-10T00:00:00"/>
        <d v="2024-04-11T00:00:00"/>
        <d v="2024-04-12T00:00:00"/>
        <d v="2024-04-13T00:00:00"/>
        <d v="2024-04-14T00:00:00"/>
        <d v="2024-04-15T00:00:00"/>
        <d v="2024-04-18T00:00:00"/>
        <d v="2024-04-19T00:00:00"/>
        <d v="2024-04-20T00:00:00"/>
        <d v="2024-04-21T00:00:00"/>
        <d v="2024-04-22T00:00:00"/>
        <d v="2024-04-25T00:00:00"/>
        <d v="2024-04-26T00:00:00"/>
        <d v="2024-04-28T00:00:00"/>
        <d v="2024-04-29T00:00:00"/>
        <d v="2024-05-02T00:00:00"/>
        <d v="2024-05-03T00:00:00"/>
        <d v="2024-05-04T00:00:00"/>
        <d v="2024-05-05T00:00:00"/>
        <d v="2024-05-06T00:00:00"/>
        <d v="2024-05-07T00:00:00"/>
        <d v="2024-05-08T00:00:00"/>
        <d v="2024-05-11T00:00:00"/>
        <d v="2024-05-12T00:00:00"/>
        <d v="2024-05-14T00:00:00"/>
        <d v="2024-05-15T00:00:00"/>
        <d v="2024-05-16T00:00:00"/>
        <d v="2024-05-17T00:00:00"/>
        <d v="2024-05-18T00:00:00"/>
        <d v="2024-05-20T00:00:00"/>
        <d v="2024-05-21T00:00:00"/>
        <d v="2024-05-22T00:00:00"/>
        <d v="2024-05-25T00:00:00"/>
        <d v="2024-05-26T00:00:00"/>
        <d v="2024-05-27T00:00:00"/>
        <d v="2024-05-28T00:00:00"/>
        <d v="2024-05-30T00:00:00"/>
        <d v="2024-05-31T00:00:00"/>
        <d v="2024-06-01T00:00:00"/>
        <d v="2024-06-02T00:00:00"/>
        <d v="2024-06-03T00:00:00"/>
        <d v="2024-06-04T00:00:00"/>
        <d v="2024-06-05T00:00:00"/>
        <d v="2024-06-06T00:00:00"/>
        <d v="2024-06-07T00:00:00"/>
        <d v="2024-06-08T00:00:00"/>
        <d v="2024-06-09T00:00:00"/>
        <d v="2024-06-10T00:00:00"/>
        <d v="2024-06-12T00:00:00"/>
        <d v="2024-06-15T00:00:00"/>
        <d v="2024-06-17T00:00:00"/>
        <d v="2024-06-18T00:00:00"/>
        <d v="2024-06-19T00:00:00"/>
        <d v="2024-06-20T00:00:00"/>
        <d v="2024-06-21T00:00:00"/>
        <d v="2024-06-22T00:00:00"/>
        <d v="2024-06-24T00:00:00"/>
        <d v="2024-06-25T00:00:00"/>
        <d v="2024-06-26T00:00:00"/>
        <d v="2024-06-29T00:00:00"/>
        <d v="2024-06-30T00:00:00"/>
        <d v="2024-07-01T00:00:00"/>
        <d v="2024-07-03T00:00:00"/>
        <d v="2024-07-04T00:00:00"/>
        <d v="2024-07-05T00:00:00"/>
        <d v="2024-07-07T00:00:00"/>
        <d v="2024-07-10T00:00:00"/>
        <d v="2024-07-11T00:00:00"/>
        <d v="2024-07-12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6T00:00:00"/>
        <d v="2024-08-07T00:00:00"/>
        <d v="2024-08-08T00:00:00"/>
        <d v="2024-08-10T00:00:00"/>
        <d v="2024-08-11T00:00:00"/>
        <d v="2024-08-12T00:00:00"/>
        <d v="2024-08-13T00:00:00"/>
        <d v="2024-08-14T00:00:00"/>
        <d v="2024-08-15T00:00:00"/>
        <d v="2024-08-16T00:00:00"/>
        <d v="2024-08-17T00:00:00"/>
        <d v="2024-08-18T00:00:00"/>
        <d v="2024-08-20T00:00:00"/>
        <d v="2024-08-21T00:00:00"/>
        <d v="2024-08-23T00:00:00"/>
        <d v="2024-08-24T00:00:00"/>
        <d v="2024-08-26T00:00:00"/>
        <d v="2024-08-27T00:00:00"/>
        <d v="2024-08-28T00:00:00"/>
        <d v="2024-08-29T00:00:00"/>
        <d v="2024-08-30T00:00:00"/>
        <d v="2024-08-31T00:00:00"/>
        <d v="2024-09-01T00:00:00"/>
        <d v="2024-09-04T00:00:00"/>
        <d v="2024-09-06T00:00:00"/>
        <d v="2024-09-07T00:00:00"/>
        <d v="2024-09-08T00:00:00"/>
        <d v="2024-09-11T00:00:00"/>
        <d v="2024-09-13T00:00:00"/>
        <d v="2024-09-14T00:00:00"/>
        <d v="2024-09-15T00:00:00"/>
        <d v="2024-09-16T00:00:00"/>
        <d v="2024-09-18T00:00:00"/>
        <d v="2024-09-20T00:00:00"/>
        <d v="2024-09-21T00:00:00"/>
        <d v="2024-09-22T00:00:00"/>
        <d v="2024-09-23T00:00:00"/>
        <d v="2024-09-25T00:00:00"/>
        <d v="2024-09-26T00:00:00"/>
        <d v="2024-09-28T00:00:00"/>
        <d v="2024-09-30T00:00:00"/>
        <d v="2024-10-01T00:00:00"/>
        <d v="2024-10-02T00:00:00"/>
        <d v="2024-10-03T00:00:00"/>
        <d v="2024-10-04T00:00:00"/>
        <d v="2024-10-05T00:00:00"/>
        <d v="2024-10-06T00:00:00"/>
        <d v="2024-10-07T00:00:00"/>
        <d v="2024-10-09T00:00:00"/>
        <d v="2024-10-10T00:00:00"/>
        <d v="2024-10-11T00:00:00"/>
        <d v="2024-10-15T00:00:00"/>
        <d v="2024-10-16T00:00:00"/>
        <d v="2024-10-18T00:00:00"/>
        <d v="2024-10-20T00:00:00"/>
        <d v="2024-10-21T00:00:00"/>
        <d v="2024-10-22T00:00:00"/>
        <d v="2024-10-23T00:00:00"/>
        <d v="2024-10-24T00:00:00"/>
        <d v="2024-10-25T00:00:00"/>
        <d v="2024-10-26T00:00:00"/>
        <d v="2024-10-27T00:00:00"/>
        <d v="2024-10-28T00:00:00"/>
        <d v="2024-10-30T00:00:00"/>
        <d v="2024-10-31T00:00:00"/>
        <d v="2024-11-02T00:00:00"/>
        <d v="2024-11-03T00:00:00"/>
        <d v="2024-11-04T00:00:00"/>
        <d v="2024-11-05T00:00:00"/>
        <d v="2024-11-06T00:00:00"/>
        <d v="2024-11-07T00:00:00"/>
        <d v="2024-11-08T00:00:00"/>
        <d v="2024-11-11T00:00:00"/>
        <d v="2024-11-12T00:00:00"/>
        <d v="2024-11-13T00:00:00"/>
        <d v="2024-11-15T00:00:00"/>
        <d v="2024-11-16T00:00:00"/>
        <d v="2024-11-17T00:00:00"/>
        <d v="2024-11-18T00:00:00"/>
        <d v="2024-11-19T00:00:00"/>
        <d v="2024-11-20T00:00:00"/>
        <d v="2024-11-21T00:00:00"/>
        <d v="2024-11-22T00:00:00"/>
        <d v="2024-11-23T00:00:00"/>
        <d v="2024-11-26T00:00:00"/>
        <d v="2024-11-27T00:00:00"/>
        <d v="2024-11-28T00:00:00"/>
        <d v="2024-11-29T00:00:00"/>
        <d v="2024-11-30T00:00:00"/>
      </sharedItems>
      <fieldGroup par="12" base="2">
        <rangePr groupBy="months" startDate="2023-01-01T00:00:00" endDate="2024-12-01T00:00:00"/>
        <groupItems count="14">
          <s v="&lt;01/01/2023"/>
          <s v="Jan"/>
          <s v="Feb"/>
          <s v="Mar"/>
          <s v="Apr"/>
          <s v="May"/>
          <s v="Jun"/>
          <s v="Jul"/>
          <s v="Aug"/>
          <s v="Sep"/>
          <s v="Oct"/>
          <s v="Nov"/>
          <s v="Dec"/>
          <s v="&gt;01/12/2024"/>
        </groupItems>
      </fieldGroup>
    </cacheField>
    <cacheField name="Amount" numFmtId="0">
      <sharedItems containsSemiMixedTypes="0" containsString="0" containsNumber="1" minValue="5.09" maxValue="498.55"/>
    </cacheField>
    <cacheField name="Product" numFmtId="0">
      <sharedItems count="8">
        <s v="Allergy Medicine"/>
        <s v="Bandage"/>
        <s v="Antiseptic"/>
        <s v="Vitamin"/>
        <s v="Antiviral"/>
        <s v="Syringe"/>
        <s v="Antibiotic"/>
        <s v="Analgesic"/>
      </sharedItems>
    </cacheField>
    <cacheField name="Region" numFmtId="0">
      <sharedItems count="7">
        <s v="Shaki"/>
        <s v="Shirvan"/>
        <s v="Sumqayit"/>
        <s v="Baku"/>
        <s v="Nakhchivan"/>
        <s v="Lankaran"/>
        <s v="Ganja"/>
      </sharedItems>
    </cacheField>
    <cacheField name="PurchaseCount" numFmtId="0">
      <sharedItems containsSemiMixedTypes="0" containsString="0" containsNumber="1" containsInteger="1" minValue="1" maxValue="7"/>
    </cacheField>
    <cacheField name="Year-Month" numFmtId="14">
      <sharedItems/>
    </cacheField>
    <cacheField name="Returning Flag" numFmtId="0">
      <sharedItems containsSemiMixedTypes="0" containsString="0" containsNumber="1" containsInteger="1" minValue="0" maxValue="1"/>
    </cacheField>
    <cacheField name="OrderYear" numFmtId="0">
      <sharedItems containsSemiMixedTypes="0" containsString="0" containsNumber="1" containsInteger="1" minValue="2023" maxValue="2024"/>
    </cacheField>
    <cacheField name="OrderMonth" numFmtId="0">
      <sharedItems containsSemiMixedTypes="0" containsString="0" containsNumber="1" containsInteger="1" minValue="1" maxValue="12"/>
    </cacheField>
    <cacheField name="Quarters" numFmtId="0" databaseField="0">
      <fieldGroup base="2">
        <rangePr groupBy="quarters" startDate="2023-01-01T00:00:00" endDate="2024-12-01T00:00:00"/>
        <groupItems count="6">
          <s v="&lt;01/01/2023"/>
          <s v="Qtr1"/>
          <s v="Qtr2"/>
          <s v="Qtr3"/>
          <s v="Qtr4"/>
          <s v="&gt;01/12/2024"/>
        </groupItems>
      </fieldGroup>
    </cacheField>
    <cacheField name="Years" numFmtId="0" databaseField="0">
      <fieldGroup base="2">
        <rangePr groupBy="years" startDate="2023-01-01T00:00:00" endDate="2024-12-01T00:00:00"/>
        <groupItems count="4">
          <s v="&lt;01/01/2023"/>
          <s v="2023"/>
          <s v="2024"/>
          <s v="&gt;01/12/2024"/>
        </groupItems>
      </fieldGroup>
    </cacheField>
  </cacheFields>
  <extLst>
    <ext xmlns:x14="http://schemas.microsoft.com/office/spreadsheetml/2009/9/main" uri="{725AE2AE-9491-48be-B2B4-4EB974FC3084}">
      <x14:pivotCacheDefinition pivotCacheId="150491896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07.06120891204" backgroundQuery="1" createdVersion="6" refreshedVersion="6" minRefreshableVersion="3" recordCount="0" supportSubquery="1" supportAdvancedDrill="1" xr:uid="{AE659018-2DB3-45D8-BBBB-87B22EA3EEEC}">
  <cacheSource type="external" connectionId="2"/>
  <cacheFields count="2">
    <cacheField name="[Measures].[Distinct Count of CustomerID]" caption="Distinct Count of CustomerID" numFmtId="0" hierarchy="17" level="32767"/>
    <cacheField name="[Data].[PurchaseCount].[PurchaseCount]" caption="PurchaseCount" numFmtId="0" hierarchy="6" level="1">
      <sharedItems containsSemiMixedTypes="0" containsNonDate="0" containsString="0"/>
    </cacheField>
  </cacheFields>
  <cacheHierarchies count="20">
    <cacheHierarchy uniqueName="[Data].[CustomerID]" caption="CustomerID" attribute="1" defaultMemberUniqueName="[Data].[CustomerID].[All]" allUniqueName="[Data].[CustomerID].[All]" dimensionUniqueName="[Data]" displayFolder="" count="0" memberValueDatatype="20" unbalanced="0"/>
    <cacheHierarchy uniqueName="[Data].[OrderID]" caption="OrderID" attribute="1" defaultMemberUniqueName="[Data].[OrderID].[All]" allUniqueName="[Data].[OrderID].[All]" dimensionUniqueName="[Data]" displayFolder="" count="0" memberValueDatatype="20" unbalanced="0"/>
    <cacheHierarchy uniqueName="[Data].[OrderDate]" caption="OrderDate" attribute="1" time="1" defaultMemberUniqueName="[Data].[OrderDate].[All]" allUniqueName="[Data].[OrderDate].[All]" dimensionUniqueName="[Data]" displayFolder="" count="0" memberValueDatatype="7" unbalanced="0"/>
    <cacheHierarchy uniqueName="[Data].[Amount]" caption="Amount" attribute="1" defaultMemberUniqueName="[Data].[Amount].[All]" allUniqueName="[Data].[Amount].[All]" dimensionUniqueName="[Data]" displayFolder="" count="0" memberValueDatatype="5" unbalanced="0"/>
    <cacheHierarchy uniqueName="[Data].[Product]" caption="Product" attribute="1" defaultMemberUniqueName="[Data].[Product].[All]" allUniqueName="[Data].[Product].[All]" dimensionUniqueName="[Data]" displayFolder="" count="0" memberValueDatatype="130" unbalanced="0"/>
    <cacheHierarchy uniqueName="[Data].[Region]" caption="Region" attribute="1" defaultMemberUniqueName="[Data].[Region].[All]" allUniqueName="[Data].[Region].[All]" dimensionUniqueName="[Data]" displayFolder="" count="0" memberValueDatatype="130" unbalanced="0"/>
    <cacheHierarchy uniqueName="[Data].[PurchaseCount]" caption="PurchaseCount" attribute="1" defaultMemberUniqueName="[Data].[PurchaseCount].[All]" allUniqueName="[Data].[PurchaseCount].[All]" dimensionUniqueName="[Data]" displayFolder="" count="2" memberValueDatatype="20" unbalanced="0">
      <fieldsUsage count="2">
        <fieldUsage x="-1"/>
        <fieldUsage x="1"/>
      </fieldsUsage>
    </cacheHierarchy>
    <cacheHierarchy uniqueName="[Data].[Year-Month]" caption="Year-Month" attribute="1" defaultMemberUniqueName="[Data].[Year-Month].[All]" allUniqueName="[Data].[Year-Month].[All]" dimensionUniqueName="[Data]" displayFolder="" count="0" memberValueDatatype="130" unbalanced="0"/>
    <cacheHierarchy uniqueName="[Data].[Returning Flag]" caption="Returning Flag" attribute="1" defaultMemberUniqueName="[Data].[Returning Flag].[All]" allUniqueName="[Data].[Returning Flag].[All]" dimensionUniqueName="[Data]" displayFolder="" count="0" memberValueDatatype="20" unbalanced="0"/>
    <cacheHierarchy uniqueName="[Data].[OrderDate (Year)]" caption="OrderDate (Year)" attribute="1" defaultMemberUniqueName="[Data].[OrderDate (Year)].[All]" allUniqueName="[Data].[OrderDate (Year)].[All]" dimensionUniqueName="[Data]" displayFolder="" count="0" memberValueDatatype="130" unbalanced="0"/>
    <cacheHierarchy uniqueName="[Data].[OrderDate (Month)]" caption="OrderDate (Month)" attribute="1" defaultMemberUniqueName="[Data].[OrderDate (Month)].[All]" allUniqueName="[Data].[OrderDate (Month)].[All]" dimensionUniqueName="[Data]" displayFolder="" count="0" memberValueDatatype="130" unbalanced="0"/>
    <cacheHierarchy uniqueName="[Data].[OrderYear]" caption="OrderYear" attribute="1" defaultMemberUniqueName="[Data].[OrderYear].[All]" allUniqueName="[Data].[OrderYear].[All]" dimensionUniqueName="[Data]" displayFolder="" count="0" memberValueDatatype="20" unbalanced="0"/>
    <cacheHierarchy uniqueName="[Data].[OrderMonth]" caption="OrderMonth" attribute="1" defaultMemberUniqueName="[Data].[OrderMonth].[All]" allUniqueName="[Data].[OrderMonth].[All]" dimensionUniqueName="[Data]" displayFolder="" count="0" memberValueDatatype="20" unbalanced="0"/>
    <cacheHierarchy uniqueName="[Data].[OrderDate (Month Index)]" caption="OrderDate (Month Index)" attribute="1" defaultMemberUniqueName="[Data].[OrderDate (Month Index)].[All]" allUniqueName="[Data].[Order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CustomerID]" caption="Sum of CustomerID" measure="1" displayFolder="" measureGroup="Data"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turning Flag]" caption="Sum of Returning Flag" measure="1" displayFolder="" measureGroup="Data" count="0" hidden="1">
      <extLst>
        <ext xmlns:x15="http://schemas.microsoft.com/office/spreadsheetml/2010/11/main" uri="{B97F6D7D-B522-45F9-BDA1-12C45D357490}">
          <x15:cacheHierarchy aggregatedColumn="8"/>
        </ext>
      </extLst>
    </cacheHierarchy>
    <cacheHierarchy uniqueName="[Measures].[Sum of PurchaseCount]" caption="Sum of PurchaseCount" measure="1" displayFolder="" measureGroup="Data" count="0" hidden="1">
      <extLst>
        <ext xmlns:x15="http://schemas.microsoft.com/office/spreadsheetml/2010/11/main" uri="{B97F6D7D-B522-45F9-BDA1-12C45D357490}">
          <x15:cacheHierarchy aggregatedColumn="6"/>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07.061328240743" backgroundQuery="1" createdVersion="6" refreshedVersion="6" minRefreshableVersion="3" recordCount="0" supportSubquery="1" supportAdvancedDrill="1" xr:uid="{63E12B87-96A0-42FC-BD62-C271E5B7465F}">
  <cacheSource type="external" connectionId="2"/>
  <cacheFields count="4">
    <cacheField name="[Measures].[Distinct Count of CustomerID]" caption="Distinct Count of CustomerID" numFmtId="0" hierarchy="17" level="32767"/>
    <cacheField name="[Data].[PurchaseCount].[PurchaseCount]" caption="PurchaseCount" numFmtId="0" hierarchy="6" level="1">
      <sharedItems containsSemiMixedTypes="0" containsNonDate="0" containsString="0"/>
    </cacheField>
    <cacheField name="[Data].[OrderDate (Month)].[OrderDate (Month)]" caption="OrderDate (Month)" numFmtId="0" hierarchy="10" level="1">
      <sharedItems count="12">
        <s v="Jan"/>
        <s v="Feb"/>
        <s v="Mar"/>
        <s v="Apr"/>
        <s v="May"/>
        <s v="Jun"/>
        <s v="Jul"/>
        <s v="Aug"/>
        <s v="Sep"/>
        <s v="Oct"/>
        <s v="Nov"/>
        <s v="Dec"/>
      </sharedItems>
    </cacheField>
    <cacheField name="[Data].[OrderDate (Year)].[OrderDate (Year)]" caption="OrderDate (Year)" numFmtId="0" hierarchy="9" level="1">
      <sharedItems count="2">
        <s v="2023"/>
        <s v="2024"/>
      </sharedItems>
    </cacheField>
  </cacheFields>
  <cacheHierarchies count="20">
    <cacheHierarchy uniqueName="[Data].[CustomerID]" caption="CustomerID" attribute="1" defaultMemberUniqueName="[Data].[CustomerID].[All]" allUniqueName="[Data].[CustomerID].[All]" dimensionUniqueName="[Data]" displayFolder="" count="0" memberValueDatatype="20" unbalanced="0"/>
    <cacheHierarchy uniqueName="[Data].[OrderID]" caption="OrderID" attribute="1" defaultMemberUniqueName="[Data].[OrderID].[All]" allUniqueName="[Data].[OrderID].[All]" dimensionUniqueName="[Data]" displayFolder="" count="0" memberValueDatatype="20" unbalanced="0"/>
    <cacheHierarchy uniqueName="[Data].[OrderDate]" caption="OrderDate" attribute="1" time="1" defaultMemberUniqueName="[Data].[OrderDate].[All]" allUniqueName="[Data].[OrderDate].[All]" dimensionUniqueName="[Data]" displayFolder="" count="2" memberValueDatatype="7" unbalanced="0"/>
    <cacheHierarchy uniqueName="[Data].[Amount]" caption="Amount" attribute="1" defaultMemberUniqueName="[Data].[Amount].[All]" allUniqueName="[Data].[Amount].[All]" dimensionUniqueName="[Data]" displayFolder="" count="0" memberValueDatatype="5" unbalanced="0"/>
    <cacheHierarchy uniqueName="[Data].[Product]" caption="Product" attribute="1" defaultMemberUniqueName="[Data].[Product].[All]" allUniqueName="[Data].[Product].[All]" dimensionUniqueName="[Data]" displayFolder="" count="0" memberValueDatatype="130" unbalanced="0"/>
    <cacheHierarchy uniqueName="[Data].[Region]" caption="Region" attribute="1" defaultMemberUniqueName="[Data].[Region].[All]" allUniqueName="[Data].[Region].[All]" dimensionUniqueName="[Data]" displayFolder="" count="0" memberValueDatatype="130" unbalanced="0"/>
    <cacheHierarchy uniqueName="[Data].[PurchaseCount]" caption="PurchaseCount" attribute="1" defaultMemberUniqueName="[Data].[PurchaseCount].[All]" allUniqueName="[Data].[PurchaseCount].[All]" dimensionUniqueName="[Data]" displayFolder="" count="2" memberValueDatatype="20" unbalanced="0">
      <fieldsUsage count="2">
        <fieldUsage x="-1"/>
        <fieldUsage x="1"/>
      </fieldsUsage>
    </cacheHierarchy>
    <cacheHierarchy uniqueName="[Data].[Year-Month]" caption="Year-Month" attribute="1" defaultMemberUniqueName="[Data].[Year-Month].[All]" allUniqueName="[Data].[Year-Month].[All]" dimensionUniqueName="[Data]" displayFolder="" count="0" memberValueDatatype="130" unbalanced="0"/>
    <cacheHierarchy uniqueName="[Data].[Returning Flag]" caption="Returning Flag" attribute="1" defaultMemberUniqueName="[Data].[Returning Flag].[All]" allUniqueName="[Data].[Returning Flag].[All]" dimensionUniqueName="[Data]" displayFolder="" count="0" memberValueDatatype="20" unbalanced="0"/>
    <cacheHierarchy uniqueName="[Data].[OrderDate (Year)]" caption="OrderDate (Year)" attribute="1" defaultMemberUniqueName="[Data].[OrderDate (Year)].[All]" allUniqueName="[Data].[OrderDate (Year)].[All]" dimensionUniqueName="[Data]" displayFolder="" count="2" memberValueDatatype="130" unbalanced="0">
      <fieldsUsage count="2">
        <fieldUsage x="-1"/>
        <fieldUsage x="3"/>
      </fieldsUsage>
    </cacheHierarchy>
    <cacheHierarchy uniqueName="[Data].[OrderDate (Month)]" caption="OrderDate (Month)" attribute="1" defaultMemberUniqueName="[Data].[OrderDate (Month)].[All]" allUniqueName="[Data].[OrderDate (Month)].[All]" dimensionUniqueName="[Data]" displayFolder="" count="2" memberValueDatatype="130" unbalanced="0">
      <fieldsUsage count="2">
        <fieldUsage x="-1"/>
        <fieldUsage x="2"/>
      </fieldsUsage>
    </cacheHierarchy>
    <cacheHierarchy uniqueName="[Data].[OrderYear]" caption="OrderYear" attribute="1" defaultMemberUniqueName="[Data].[OrderYear].[All]" allUniqueName="[Data].[OrderYear].[All]" dimensionUniqueName="[Data]" displayFolder="" count="0" memberValueDatatype="20" unbalanced="0"/>
    <cacheHierarchy uniqueName="[Data].[OrderMonth]" caption="OrderMonth" attribute="1" defaultMemberUniqueName="[Data].[OrderMonth].[All]" allUniqueName="[Data].[OrderMonth].[All]" dimensionUniqueName="[Data]" displayFolder="" count="0" memberValueDatatype="20" unbalanced="0"/>
    <cacheHierarchy uniqueName="[Data].[OrderDate (Month Index)]" caption="OrderDate (Month Index)" attribute="1" defaultMemberUniqueName="[Data].[OrderDate (Month Index)].[All]" allUniqueName="[Data].[Order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CustomerID]" caption="Sum of CustomerID" measure="1" displayFolder="" measureGroup="Data"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turning Flag]" caption="Sum of Returning Flag" measure="1" displayFolder="" measureGroup="Data" count="0" hidden="1">
      <extLst>
        <ext xmlns:x15="http://schemas.microsoft.com/office/spreadsheetml/2010/11/main" uri="{B97F6D7D-B522-45F9-BDA1-12C45D357490}">
          <x15:cacheHierarchy aggregatedColumn="8"/>
        </ext>
      </extLst>
    </cacheHierarchy>
    <cacheHierarchy uniqueName="[Measures].[Sum of PurchaseCount]" caption="Sum of PurchaseCount" measure="1" displayFolder="" measureGroup="Data" count="0" hidden="1">
      <extLst>
        <ext xmlns:x15="http://schemas.microsoft.com/office/spreadsheetml/2010/11/main" uri="{B97F6D7D-B522-45F9-BDA1-12C45D357490}">
          <x15:cacheHierarchy aggregatedColumn="6"/>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07.054212268522" backgroundQuery="1" createdVersion="3" refreshedVersion="6" minRefreshableVersion="3" recordCount="0" supportSubquery="1" supportAdvancedDrill="1" xr:uid="{4149CC32-840A-4E05-84F5-BECF208A94B9}">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Data].[CustomerID]" caption="CustomerID" attribute="1" defaultMemberUniqueName="[Data].[CustomerID].[All]" allUniqueName="[Data].[CustomerID].[All]" dimensionUniqueName="[Data]" displayFolder="" count="0" memberValueDatatype="20" unbalanced="0"/>
    <cacheHierarchy uniqueName="[Data].[OrderID]" caption="OrderID" attribute="1" defaultMemberUniqueName="[Data].[OrderID].[All]" allUniqueName="[Data].[OrderID].[All]" dimensionUniqueName="[Data]" displayFolder="" count="0" memberValueDatatype="20" unbalanced="0"/>
    <cacheHierarchy uniqueName="[Data].[OrderDate]" caption="OrderDate" attribute="1" time="1" defaultMemberUniqueName="[Data].[OrderDate].[All]" allUniqueName="[Data].[OrderDate].[All]" dimensionUniqueName="[Data]" displayFolder="" count="2" memberValueDatatype="7" unbalanced="0"/>
    <cacheHierarchy uniqueName="[Data].[Amount]" caption="Amount" attribute="1" defaultMemberUniqueName="[Data].[Amount].[All]" allUniqueName="[Data].[Amount].[All]" dimensionUniqueName="[Data]" displayFolder="" count="0" memberValueDatatype="5" unbalanced="0"/>
    <cacheHierarchy uniqueName="[Data].[Product]" caption="Product" attribute="1" defaultMemberUniqueName="[Data].[Product].[All]" allUniqueName="[Data].[Product].[All]" dimensionUniqueName="[Data]" displayFolder="" count="0" memberValueDatatype="130" unbalanced="0"/>
    <cacheHierarchy uniqueName="[Data].[Region]" caption="Region" attribute="1" defaultMemberUniqueName="[Data].[Region].[All]" allUniqueName="[Data].[Region].[All]" dimensionUniqueName="[Data]" displayFolder="" count="0" memberValueDatatype="130" unbalanced="0"/>
    <cacheHierarchy uniqueName="[Data].[PurchaseCount]" caption="PurchaseCount" attribute="1" defaultMemberUniqueName="[Data].[PurchaseCount].[All]" allUniqueName="[Data].[PurchaseCount].[All]" dimensionUniqueName="[Data]" displayFolder="" count="0" memberValueDatatype="20" unbalanced="0"/>
    <cacheHierarchy uniqueName="[Data].[Year-Month]" caption="Year-Month" attribute="1" defaultMemberUniqueName="[Data].[Year-Month].[All]" allUniqueName="[Data].[Year-Month].[All]" dimensionUniqueName="[Data]" displayFolder="" count="0" memberValueDatatype="130" unbalanced="0"/>
    <cacheHierarchy uniqueName="[Data].[Returning Flag]" caption="Returning Flag" attribute="1" defaultMemberUniqueName="[Data].[Returning Flag].[All]" allUniqueName="[Data].[Returning Flag].[All]" dimensionUniqueName="[Data]" displayFolder="" count="0" memberValueDatatype="20" unbalanced="0"/>
    <cacheHierarchy uniqueName="[Data].[OrderDate (Year)]" caption="OrderDate (Year)" attribute="1" defaultMemberUniqueName="[Data].[OrderDate (Year)].[All]" allUniqueName="[Data].[OrderDate (Year)].[All]" dimensionUniqueName="[Data]" displayFolder="" count="0" memberValueDatatype="130" unbalanced="0"/>
    <cacheHierarchy uniqueName="[Data].[OrderDate (Month)]" caption="OrderDate (Month)" attribute="1" defaultMemberUniqueName="[Data].[OrderDate (Month)].[All]" allUniqueName="[Data].[OrderDate (Month)].[All]" dimensionUniqueName="[Data]" displayFolder="" count="0" memberValueDatatype="130" unbalanced="0"/>
    <cacheHierarchy uniqueName="[Data].[OrderYear]" caption="OrderYear" attribute="1" defaultMemberUniqueName="[Data].[OrderYear].[All]" allUniqueName="[Data].[OrderYear].[All]" dimensionUniqueName="[Data]" displayFolder="" count="0" memberValueDatatype="20" unbalanced="0"/>
    <cacheHierarchy uniqueName="[Data].[OrderMonth]" caption="OrderMonth" attribute="1" defaultMemberUniqueName="[Data].[OrderMonth].[All]" allUniqueName="[Data].[OrderMonth].[All]" dimensionUniqueName="[Data]" displayFolder="" count="0" memberValueDatatype="20" unbalanced="0"/>
    <cacheHierarchy uniqueName="[Data].[OrderDate (Month Index)]" caption="OrderDate (Month Index)" attribute="1" defaultMemberUniqueName="[Data].[OrderDate (Month Index)].[All]" allUniqueName="[Data].[Order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CustomerID]" caption="Sum of CustomerID" measure="1" displayFolder="" measureGroup="Data"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Data" count="0" hidden="1">
      <extLst>
        <ext xmlns:x15="http://schemas.microsoft.com/office/spreadsheetml/2010/11/main" uri="{B97F6D7D-B522-45F9-BDA1-12C45D357490}">
          <x15:cacheHierarchy aggregatedColumn="0"/>
        </ext>
      </extLst>
    </cacheHierarchy>
    <cacheHierarchy uniqueName="[Measures].[Sum of Returning Flag]" caption="Sum of Returning Flag" measure="1" displayFolder="" measureGroup="Data" count="0" hidden="1">
      <extLst>
        <ext xmlns:x15="http://schemas.microsoft.com/office/spreadsheetml/2010/11/main" uri="{B97F6D7D-B522-45F9-BDA1-12C45D357490}">
          <x15:cacheHierarchy aggregatedColumn="8"/>
        </ext>
      </extLst>
    </cacheHierarchy>
    <cacheHierarchy uniqueName="[Measures].[Sum of PurchaseCount]" caption="Sum of PurchaseCount" measure="1" displayFolder="" measureGroup="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pivotCacheId="88666327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459"/>
    <n v="33"/>
    <x v="0"/>
    <n v="348.13"/>
    <x v="0"/>
    <x v="0"/>
    <n v="2"/>
    <s v="2023-Jan"/>
    <n v="0"/>
    <n v="2023"/>
    <n v="1"/>
  </r>
  <r>
    <n v="1358"/>
    <n v="248"/>
    <x v="0"/>
    <n v="200.21"/>
    <x v="0"/>
    <x v="1"/>
    <n v="1"/>
    <s v="2023-Jan"/>
    <n v="0"/>
    <n v="2023"/>
    <n v="1"/>
  </r>
  <r>
    <n v="1152"/>
    <n v="403"/>
    <x v="0"/>
    <n v="289.42"/>
    <x v="1"/>
    <x v="1"/>
    <n v="1"/>
    <s v="2023-Jan"/>
    <n v="0"/>
    <n v="2023"/>
    <n v="1"/>
  </r>
  <r>
    <n v="1200"/>
    <n v="156"/>
    <x v="1"/>
    <n v="321.8"/>
    <x v="2"/>
    <x v="2"/>
    <n v="3"/>
    <s v="2023-Jan"/>
    <n v="0"/>
    <n v="2023"/>
    <n v="1"/>
  </r>
  <r>
    <n v="1625"/>
    <n v="740"/>
    <x v="1"/>
    <n v="141.47999999999999"/>
    <x v="0"/>
    <x v="2"/>
    <n v="2"/>
    <s v="2023-Jan"/>
    <n v="0"/>
    <n v="2023"/>
    <n v="1"/>
  </r>
  <r>
    <n v="1454"/>
    <n v="794"/>
    <x v="1"/>
    <n v="111.96"/>
    <x v="0"/>
    <x v="3"/>
    <n v="2"/>
    <s v="2023-Jan"/>
    <n v="0"/>
    <n v="2023"/>
    <n v="1"/>
  </r>
  <r>
    <n v="1619"/>
    <n v="226"/>
    <x v="2"/>
    <n v="283.89999999999998"/>
    <x v="3"/>
    <x v="4"/>
    <n v="2"/>
    <s v="2023-Jan"/>
    <n v="0"/>
    <n v="2023"/>
    <n v="1"/>
  </r>
  <r>
    <n v="1697"/>
    <n v="558"/>
    <x v="2"/>
    <n v="488.12"/>
    <x v="0"/>
    <x v="3"/>
    <n v="2"/>
    <s v="2023-Jan"/>
    <n v="0"/>
    <n v="2023"/>
    <n v="1"/>
  </r>
  <r>
    <n v="1102"/>
    <n v="1"/>
    <x v="3"/>
    <n v="219.46"/>
    <x v="3"/>
    <x v="0"/>
    <n v="2"/>
    <s v="2023-Jan"/>
    <n v="0"/>
    <n v="2023"/>
    <n v="1"/>
  </r>
  <r>
    <n v="1270"/>
    <n v="109"/>
    <x v="3"/>
    <n v="189.56"/>
    <x v="4"/>
    <x v="5"/>
    <n v="2"/>
    <s v="2023-Jan"/>
    <n v="0"/>
    <n v="2023"/>
    <n v="1"/>
  </r>
  <r>
    <n v="1224"/>
    <n v="292"/>
    <x v="3"/>
    <n v="260.01"/>
    <x v="2"/>
    <x v="2"/>
    <n v="3"/>
    <s v="2023-Jan"/>
    <n v="0"/>
    <n v="2023"/>
    <n v="1"/>
  </r>
  <r>
    <n v="1952"/>
    <n v="222"/>
    <x v="4"/>
    <n v="326.29000000000002"/>
    <x v="1"/>
    <x v="2"/>
    <n v="3"/>
    <s v="2023-Jan"/>
    <n v="0"/>
    <n v="2023"/>
    <n v="1"/>
  </r>
  <r>
    <n v="1134"/>
    <n v="155"/>
    <x v="5"/>
    <n v="30.59"/>
    <x v="4"/>
    <x v="5"/>
    <n v="2"/>
    <s v="2023-Jan"/>
    <n v="0"/>
    <n v="2023"/>
    <n v="1"/>
  </r>
  <r>
    <n v="1385"/>
    <n v="514"/>
    <x v="5"/>
    <n v="331.05"/>
    <x v="5"/>
    <x v="1"/>
    <n v="3"/>
    <s v="2023-Jan"/>
    <n v="0"/>
    <n v="2023"/>
    <n v="1"/>
  </r>
  <r>
    <n v="1499"/>
    <n v="862"/>
    <x v="5"/>
    <n v="494.27"/>
    <x v="0"/>
    <x v="2"/>
    <n v="1"/>
    <s v="2023-Jan"/>
    <n v="0"/>
    <n v="2023"/>
    <n v="1"/>
  </r>
  <r>
    <n v="1228"/>
    <n v="926"/>
    <x v="5"/>
    <n v="120.22"/>
    <x v="1"/>
    <x v="2"/>
    <n v="1"/>
    <s v="2023-Jan"/>
    <n v="0"/>
    <n v="2023"/>
    <n v="1"/>
  </r>
  <r>
    <n v="1343"/>
    <n v="137"/>
    <x v="6"/>
    <n v="296"/>
    <x v="1"/>
    <x v="2"/>
    <n v="2"/>
    <s v="2023-Jan"/>
    <n v="0"/>
    <n v="2023"/>
    <n v="1"/>
  </r>
  <r>
    <n v="1927"/>
    <n v="490"/>
    <x v="6"/>
    <n v="311.38"/>
    <x v="2"/>
    <x v="6"/>
    <n v="1"/>
    <s v="2023-Jan"/>
    <n v="0"/>
    <n v="2023"/>
    <n v="1"/>
  </r>
  <r>
    <n v="1683"/>
    <n v="258"/>
    <x v="7"/>
    <n v="329.07"/>
    <x v="4"/>
    <x v="6"/>
    <n v="3"/>
    <s v="2023-Jan"/>
    <n v="0"/>
    <n v="2023"/>
    <n v="1"/>
  </r>
  <r>
    <n v="1880"/>
    <n v="367"/>
    <x v="8"/>
    <n v="207.69"/>
    <x v="3"/>
    <x v="4"/>
    <n v="2"/>
    <s v="2023-Jan"/>
    <n v="0"/>
    <n v="2023"/>
    <n v="1"/>
  </r>
  <r>
    <n v="1119"/>
    <n v="600"/>
    <x v="8"/>
    <n v="94.39"/>
    <x v="0"/>
    <x v="2"/>
    <n v="2"/>
    <s v="2023-Jan"/>
    <n v="0"/>
    <n v="2023"/>
    <n v="1"/>
  </r>
  <r>
    <n v="1095"/>
    <n v="761"/>
    <x v="8"/>
    <n v="441.66"/>
    <x v="2"/>
    <x v="4"/>
    <n v="3"/>
    <s v="2023-Jan"/>
    <n v="0"/>
    <n v="2023"/>
    <n v="1"/>
  </r>
  <r>
    <n v="1749"/>
    <n v="653"/>
    <x v="9"/>
    <n v="195.76"/>
    <x v="6"/>
    <x v="0"/>
    <n v="2"/>
    <s v="2023-Jan"/>
    <n v="0"/>
    <n v="2023"/>
    <n v="1"/>
  </r>
  <r>
    <n v="1373"/>
    <n v="262"/>
    <x v="10"/>
    <n v="101.31"/>
    <x v="5"/>
    <x v="5"/>
    <n v="1"/>
    <s v="2023-Jan"/>
    <n v="0"/>
    <n v="2023"/>
    <n v="1"/>
  </r>
  <r>
    <n v="1502"/>
    <n v="162"/>
    <x v="11"/>
    <n v="345.66"/>
    <x v="6"/>
    <x v="6"/>
    <n v="2"/>
    <s v="2023-Jan"/>
    <n v="0"/>
    <n v="2023"/>
    <n v="1"/>
  </r>
  <r>
    <n v="1463"/>
    <n v="327"/>
    <x v="11"/>
    <n v="224.14"/>
    <x v="6"/>
    <x v="3"/>
    <n v="1"/>
    <s v="2023-Jan"/>
    <n v="0"/>
    <n v="2023"/>
    <n v="1"/>
  </r>
  <r>
    <n v="1778"/>
    <n v="351"/>
    <x v="11"/>
    <n v="341.67"/>
    <x v="0"/>
    <x v="3"/>
    <n v="1"/>
    <s v="2023-Jan"/>
    <n v="0"/>
    <n v="2023"/>
    <n v="1"/>
  </r>
  <r>
    <n v="1099"/>
    <n v="673"/>
    <x v="12"/>
    <n v="245.87"/>
    <x v="4"/>
    <x v="3"/>
    <n v="2"/>
    <s v="2023-Jan"/>
    <n v="0"/>
    <n v="2023"/>
    <n v="1"/>
  </r>
  <r>
    <n v="1416"/>
    <n v="710"/>
    <x v="12"/>
    <n v="294.98"/>
    <x v="7"/>
    <x v="4"/>
    <n v="1"/>
    <s v="2023-Jan"/>
    <n v="0"/>
    <n v="2023"/>
    <n v="1"/>
  </r>
  <r>
    <n v="1053"/>
    <n v="571"/>
    <x v="13"/>
    <n v="245.58"/>
    <x v="1"/>
    <x v="3"/>
    <n v="2"/>
    <s v="2023-Jan"/>
    <n v="0"/>
    <n v="2023"/>
    <n v="1"/>
  </r>
  <r>
    <n v="1896"/>
    <n v="629"/>
    <x v="13"/>
    <n v="142.56"/>
    <x v="1"/>
    <x v="4"/>
    <n v="2"/>
    <s v="2023-Jan"/>
    <n v="0"/>
    <n v="2023"/>
    <n v="1"/>
  </r>
  <r>
    <n v="1219"/>
    <n v="649"/>
    <x v="13"/>
    <n v="421.78"/>
    <x v="1"/>
    <x v="6"/>
    <n v="4"/>
    <s v="2023-Jan"/>
    <n v="0"/>
    <n v="2023"/>
    <n v="1"/>
  </r>
  <r>
    <n v="1652"/>
    <n v="886"/>
    <x v="13"/>
    <n v="160.46"/>
    <x v="3"/>
    <x v="4"/>
    <n v="2"/>
    <s v="2023-Jan"/>
    <n v="0"/>
    <n v="2023"/>
    <n v="1"/>
  </r>
  <r>
    <n v="1116"/>
    <n v="911"/>
    <x v="13"/>
    <n v="342.43"/>
    <x v="5"/>
    <x v="3"/>
    <n v="2"/>
    <s v="2023-Jan"/>
    <n v="0"/>
    <n v="2023"/>
    <n v="1"/>
  </r>
  <r>
    <n v="1219"/>
    <n v="467"/>
    <x v="14"/>
    <n v="118.3"/>
    <x v="0"/>
    <x v="1"/>
    <n v="4"/>
    <s v="2023-Jan"/>
    <n v="0"/>
    <n v="2023"/>
    <n v="1"/>
  </r>
  <r>
    <n v="1171"/>
    <n v="466"/>
    <x v="15"/>
    <n v="318.43"/>
    <x v="3"/>
    <x v="0"/>
    <n v="1"/>
    <s v="2023-Jan"/>
    <n v="0"/>
    <n v="2023"/>
    <n v="1"/>
  </r>
  <r>
    <n v="1176"/>
    <n v="786"/>
    <x v="16"/>
    <n v="396.89"/>
    <x v="7"/>
    <x v="3"/>
    <n v="1"/>
    <s v="2023-Jan"/>
    <n v="0"/>
    <n v="2023"/>
    <n v="1"/>
  </r>
  <r>
    <n v="1971"/>
    <n v="954"/>
    <x v="17"/>
    <n v="281.8"/>
    <x v="4"/>
    <x v="5"/>
    <n v="2"/>
    <s v="2023-Jan"/>
    <n v="0"/>
    <n v="2023"/>
    <n v="1"/>
  </r>
  <r>
    <n v="1555"/>
    <n v="914"/>
    <x v="18"/>
    <n v="495.91"/>
    <x v="4"/>
    <x v="2"/>
    <n v="4"/>
    <s v="2023-Jan"/>
    <n v="0"/>
    <n v="2023"/>
    <n v="1"/>
  </r>
  <r>
    <n v="1011"/>
    <n v="948"/>
    <x v="18"/>
    <n v="486.52"/>
    <x v="5"/>
    <x v="6"/>
    <n v="2"/>
    <s v="2023-Jan"/>
    <n v="0"/>
    <n v="2023"/>
    <n v="1"/>
  </r>
  <r>
    <n v="1343"/>
    <n v="24"/>
    <x v="19"/>
    <n v="40.85"/>
    <x v="1"/>
    <x v="6"/>
    <n v="2"/>
    <s v="2023-Jan"/>
    <n v="0"/>
    <n v="2023"/>
    <n v="1"/>
  </r>
  <r>
    <n v="1400"/>
    <n v="309"/>
    <x v="19"/>
    <n v="214.85"/>
    <x v="5"/>
    <x v="4"/>
    <n v="2"/>
    <s v="2023-Jan"/>
    <n v="0"/>
    <n v="2023"/>
    <n v="1"/>
  </r>
  <r>
    <n v="1253"/>
    <n v="371"/>
    <x v="19"/>
    <n v="153.91999999999999"/>
    <x v="5"/>
    <x v="6"/>
    <n v="3"/>
    <s v="2023-Jan"/>
    <n v="0"/>
    <n v="2023"/>
    <n v="1"/>
  </r>
  <r>
    <n v="1461"/>
    <n v="177"/>
    <x v="20"/>
    <n v="470.21"/>
    <x v="1"/>
    <x v="1"/>
    <n v="2"/>
    <s v="2023-Jan"/>
    <n v="0"/>
    <n v="2023"/>
    <n v="1"/>
  </r>
  <r>
    <n v="1032"/>
    <n v="430"/>
    <x v="20"/>
    <n v="162.18"/>
    <x v="5"/>
    <x v="0"/>
    <n v="2"/>
    <s v="2023-Jan"/>
    <n v="0"/>
    <n v="2023"/>
    <n v="1"/>
  </r>
  <r>
    <n v="1580"/>
    <n v="635"/>
    <x v="20"/>
    <n v="408.48"/>
    <x v="3"/>
    <x v="2"/>
    <n v="1"/>
    <s v="2023-Jan"/>
    <n v="0"/>
    <n v="2023"/>
    <n v="1"/>
  </r>
  <r>
    <n v="1838"/>
    <n v="135"/>
    <x v="21"/>
    <n v="77.150000000000006"/>
    <x v="1"/>
    <x v="4"/>
    <n v="2"/>
    <s v="2023-Jan"/>
    <n v="0"/>
    <n v="2023"/>
    <n v="1"/>
  </r>
  <r>
    <n v="1472"/>
    <n v="235"/>
    <x v="21"/>
    <n v="323.08"/>
    <x v="2"/>
    <x v="2"/>
    <n v="3"/>
    <s v="2023-Jan"/>
    <n v="0"/>
    <n v="2023"/>
    <n v="1"/>
  </r>
  <r>
    <n v="1004"/>
    <n v="579"/>
    <x v="22"/>
    <n v="52.03"/>
    <x v="0"/>
    <x v="3"/>
    <n v="2"/>
    <s v="2023-Jan"/>
    <n v="0"/>
    <n v="2023"/>
    <n v="1"/>
  </r>
  <r>
    <n v="1723"/>
    <n v="979"/>
    <x v="22"/>
    <n v="419.89"/>
    <x v="4"/>
    <x v="3"/>
    <n v="1"/>
    <s v="2023-Jan"/>
    <n v="0"/>
    <n v="2023"/>
    <n v="1"/>
  </r>
  <r>
    <n v="1674"/>
    <n v="146"/>
    <x v="23"/>
    <n v="354.17"/>
    <x v="6"/>
    <x v="2"/>
    <n v="2"/>
    <s v="2023-Jan"/>
    <n v="0"/>
    <n v="2023"/>
    <n v="1"/>
  </r>
  <r>
    <n v="1804"/>
    <n v="166"/>
    <x v="23"/>
    <n v="13.6"/>
    <x v="4"/>
    <x v="0"/>
    <n v="1"/>
    <s v="2023-Jan"/>
    <n v="0"/>
    <n v="2023"/>
    <n v="1"/>
  </r>
  <r>
    <n v="1967"/>
    <n v="392"/>
    <x v="24"/>
    <n v="174.13"/>
    <x v="4"/>
    <x v="1"/>
    <n v="2"/>
    <s v="2023-Jan"/>
    <n v="0"/>
    <n v="2023"/>
    <n v="1"/>
  </r>
  <r>
    <n v="1124"/>
    <n v="561"/>
    <x v="24"/>
    <n v="131.43"/>
    <x v="7"/>
    <x v="4"/>
    <n v="1"/>
    <s v="2023-Jan"/>
    <n v="0"/>
    <n v="2023"/>
    <n v="1"/>
  </r>
  <r>
    <n v="1669"/>
    <n v="597"/>
    <x v="24"/>
    <n v="489.31"/>
    <x v="6"/>
    <x v="6"/>
    <n v="2"/>
    <s v="2023-Jan"/>
    <n v="0"/>
    <n v="2023"/>
    <n v="1"/>
  </r>
  <r>
    <n v="1726"/>
    <n v="725"/>
    <x v="24"/>
    <n v="29.67"/>
    <x v="1"/>
    <x v="1"/>
    <n v="3"/>
    <s v="2023-Jan"/>
    <n v="0"/>
    <n v="2023"/>
    <n v="1"/>
  </r>
  <r>
    <n v="1675"/>
    <n v="927"/>
    <x v="24"/>
    <n v="404.66"/>
    <x v="3"/>
    <x v="2"/>
    <n v="3"/>
    <s v="2023-Jan"/>
    <n v="0"/>
    <n v="2023"/>
    <n v="1"/>
  </r>
  <r>
    <n v="1326"/>
    <n v="865"/>
    <x v="25"/>
    <n v="363.97"/>
    <x v="7"/>
    <x v="3"/>
    <n v="1"/>
    <s v="2023-Jan"/>
    <n v="0"/>
    <n v="2023"/>
    <n v="1"/>
  </r>
  <r>
    <n v="1828"/>
    <n v="457"/>
    <x v="26"/>
    <n v="152.19"/>
    <x v="2"/>
    <x v="5"/>
    <n v="3"/>
    <s v="2023-Feb"/>
    <n v="0"/>
    <n v="2023"/>
    <n v="2"/>
  </r>
  <r>
    <n v="1226"/>
    <n v="928"/>
    <x v="27"/>
    <n v="34.25"/>
    <x v="2"/>
    <x v="5"/>
    <n v="2"/>
    <s v="2023-Feb"/>
    <n v="0"/>
    <n v="2023"/>
    <n v="2"/>
  </r>
  <r>
    <n v="1560"/>
    <n v="39"/>
    <x v="28"/>
    <n v="448.63"/>
    <x v="6"/>
    <x v="2"/>
    <n v="1"/>
    <s v="2023-Feb"/>
    <n v="0"/>
    <n v="2023"/>
    <n v="2"/>
  </r>
  <r>
    <n v="1206"/>
    <n v="188"/>
    <x v="28"/>
    <n v="190.28"/>
    <x v="3"/>
    <x v="0"/>
    <n v="1"/>
    <s v="2023-Feb"/>
    <n v="0"/>
    <n v="2023"/>
    <n v="2"/>
  </r>
  <r>
    <n v="1782"/>
    <n v="570"/>
    <x v="28"/>
    <n v="61.41"/>
    <x v="1"/>
    <x v="1"/>
    <n v="2"/>
    <s v="2023-Feb"/>
    <n v="0"/>
    <n v="2023"/>
    <n v="2"/>
  </r>
  <r>
    <n v="1633"/>
    <n v="825"/>
    <x v="29"/>
    <n v="400.18"/>
    <x v="7"/>
    <x v="6"/>
    <n v="3"/>
    <s v="2023-Feb"/>
    <n v="0"/>
    <n v="2023"/>
    <n v="2"/>
  </r>
  <r>
    <n v="1190"/>
    <n v="904"/>
    <x v="29"/>
    <n v="422.65"/>
    <x v="1"/>
    <x v="1"/>
    <n v="2"/>
    <s v="2023-Feb"/>
    <n v="0"/>
    <n v="2023"/>
    <n v="2"/>
  </r>
  <r>
    <n v="1692"/>
    <n v="819"/>
    <x v="30"/>
    <n v="281.2"/>
    <x v="2"/>
    <x v="1"/>
    <n v="1"/>
    <s v="2023-Feb"/>
    <n v="0"/>
    <n v="2023"/>
    <n v="2"/>
  </r>
  <r>
    <n v="1098"/>
    <n v="167"/>
    <x v="31"/>
    <n v="164.95"/>
    <x v="6"/>
    <x v="4"/>
    <n v="7"/>
    <s v="2023-Feb"/>
    <n v="0"/>
    <n v="2023"/>
    <n v="2"/>
  </r>
  <r>
    <n v="1906"/>
    <n v="318"/>
    <x v="31"/>
    <n v="107.06"/>
    <x v="6"/>
    <x v="0"/>
    <n v="1"/>
    <s v="2023-Feb"/>
    <n v="0"/>
    <n v="2023"/>
    <n v="2"/>
  </r>
  <r>
    <n v="1789"/>
    <n v="636"/>
    <x v="31"/>
    <n v="309.41000000000003"/>
    <x v="7"/>
    <x v="6"/>
    <n v="1"/>
    <s v="2023-Feb"/>
    <n v="0"/>
    <n v="2023"/>
    <n v="2"/>
  </r>
  <r>
    <n v="1956"/>
    <n v="703"/>
    <x v="31"/>
    <n v="371.29"/>
    <x v="2"/>
    <x v="1"/>
    <n v="2"/>
    <s v="2023-Feb"/>
    <n v="0"/>
    <n v="2023"/>
    <n v="2"/>
  </r>
  <r>
    <n v="1034"/>
    <n v="724"/>
    <x v="31"/>
    <n v="317.43"/>
    <x v="7"/>
    <x v="3"/>
    <n v="2"/>
    <s v="2023-Feb"/>
    <n v="0"/>
    <n v="2023"/>
    <n v="2"/>
  </r>
  <r>
    <n v="1565"/>
    <n v="941"/>
    <x v="31"/>
    <n v="242.14"/>
    <x v="2"/>
    <x v="4"/>
    <n v="4"/>
    <s v="2023-Feb"/>
    <n v="0"/>
    <n v="2023"/>
    <n v="2"/>
  </r>
  <r>
    <n v="1577"/>
    <n v="218"/>
    <x v="32"/>
    <n v="162.01"/>
    <x v="7"/>
    <x v="2"/>
    <n v="1"/>
    <s v="2023-Feb"/>
    <n v="0"/>
    <n v="2023"/>
    <n v="2"/>
  </r>
  <r>
    <n v="1564"/>
    <n v="813"/>
    <x v="32"/>
    <n v="331.52"/>
    <x v="2"/>
    <x v="1"/>
    <n v="2"/>
    <s v="2023-Feb"/>
    <n v="0"/>
    <n v="2023"/>
    <n v="2"/>
  </r>
  <r>
    <n v="1234"/>
    <n v="830"/>
    <x v="32"/>
    <n v="223.33"/>
    <x v="3"/>
    <x v="6"/>
    <n v="1"/>
    <s v="2023-Feb"/>
    <n v="0"/>
    <n v="2023"/>
    <n v="2"/>
  </r>
  <r>
    <n v="1912"/>
    <n v="839"/>
    <x v="32"/>
    <n v="101.94"/>
    <x v="4"/>
    <x v="1"/>
    <n v="1"/>
    <s v="2023-Feb"/>
    <n v="0"/>
    <n v="2023"/>
    <n v="2"/>
  </r>
  <r>
    <n v="1252"/>
    <n v="840"/>
    <x v="32"/>
    <n v="448.99"/>
    <x v="5"/>
    <x v="4"/>
    <n v="5"/>
    <s v="2023-Feb"/>
    <n v="0"/>
    <n v="2023"/>
    <n v="2"/>
  </r>
  <r>
    <n v="1837"/>
    <n v="569"/>
    <x v="33"/>
    <n v="239.8"/>
    <x v="6"/>
    <x v="6"/>
    <n v="1"/>
    <s v="2023-Feb"/>
    <n v="0"/>
    <n v="2023"/>
    <n v="2"/>
  </r>
  <r>
    <n v="1729"/>
    <n v="299"/>
    <x v="34"/>
    <n v="386.12"/>
    <x v="7"/>
    <x v="1"/>
    <n v="2"/>
    <s v="2023-Feb"/>
    <n v="0"/>
    <n v="2023"/>
    <n v="2"/>
  </r>
  <r>
    <n v="1691"/>
    <n v="567"/>
    <x v="34"/>
    <n v="164.5"/>
    <x v="4"/>
    <x v="1"/>
    <n v="2"/>
    <s v="2023-Feb"/>
    <n v="0"/>
    <n v="2023"/>
    <n v="2"/>
  </r>
  <r>
    <n v="1446"/>
    <n v="634"/>
    <x v="34"/>
    <n v="372.46"/>
    <x v="5"/>
    <x v="5"/>
    <n v="1"/>
    <s v="2023-Feb"/>
    <n v="0"/>
    <n v="2023"/>
    <n v="2"/>
  </r>
  <r>
    <n v="1387"/>
    <n v="90"/>
    <x v="35"/>
    <n v="259.43"/>
    <x v="5"/>
    <x v="4"/>
    <n v="2"/>
    <s v="2023-Feb"/>
    <n v="0"/>
    <n v="2023"/>
    <n v="2"/>
  </r>
  <r>
    <n v="1973"/>
    <n v="648"/>
    <x v="36"/>
    <n v="379.35"/>
    <x v="0"/>
    <x v="6"/>
    <n v="1"/>
    <s v="2023-Feb"/>
    <n v="0"/>
    <n v="2023"/>
    <n v="2"/>
  </r>
  <r>
    <n v="1878"/>
    <n v="120"/>
    <x v="37"/>
    <n v="327.8"/>
    <x v="5"/>
    <x v="2"/>
    <n v="2"/>
    <s v="2023-Feb"/>
    <n v="0"/>
    <n v="2023"/>
    <n v="2"/>
  </r>
  <r>
    <n v="1038"/>
    <n v="882"/>
    <x v="37"/>
    <n v="380.99"/>
    <x v="3"/>
    <x v="2"/>
    <n v="3"/>
    <s v="2023-Feb"/>
    <n v="0"/>
    <n v="2023"/>
    <n v="2"/>
  </r>
  <r>
    <n v="1763"/>
    <n v="125"/>
    <x v="38"/>
    <n v="296.26"/>
    <x v="7"/>
    <x v="0"/>
    <n v="4"/>
    <s v="2023-Feb"/>
    <n v="0"/>
    <n v="2023"/>
    <n v="2"/>
  </r>
  <r>
    <n v="1150"/>
    <n v="356"/>
    <x v="38"/>
    <n v="192.35"/>
    <x v="5"/>
    <x v="1"/>
    <n v="2"/>
    <s v="2023-Feb"/>
    <n v="0"/>
    <n v="2023"/>
    <n v="2"/>
  </r>
  <r>
    <n v="1757"/>
    <n v="671"/>
    <x v="38"/>
    <n v="352.96"/>
    <x v="2"/>
    <x v="1"/>
    <n v="1"/>
    <s v="2023-Feb"/>
    <n v="0"/>
    <n v="2023"/>
    <n v="2"/>
  </r>
  <r>
    <n v="1341"/>
    <n v="782"/>
    <x v="38"/>
    <n v="490.36"/>
    <x v="2"/>
    <x v="1"/>
    <n v="3"/>
    <s v="2023-Feb"/>
    <n v="0"/>
    <n v="2023"/>
    <n v="2"/>
  </r>
  <r>
    <n v="1812"/>
    <n v="132"/>
    <x v="39"/>
    <n v="168.79"/>
    <x v="0"/>
    <x v="3"/>
    <n v="1"/>
    <s v="2023-Feb"/>
    <n v="0"/>
    <n v="2023"/>
    <n v="2"/>
  </r>
  <r>
    <n v="1229"/>
    <n v="441"/>
    <x v="40"/>
    <n v="299.17"/>
    <x v="6"/>
    <x v="3"/>
    <n v="2"/>
    <s v="2023-Feb"/>
    <n v="0"/>
    <n v="2023"/>
    <n v="2"/>
  </r>
  <r>
    <n v="1313"/>
    <n v="34"/>
    <x v="41"/>
    <n v="411.61"/>
    <x v="4"/>
    <x v="5"/>
    <n v="2"/>
    <s v="2023-Feb"/>
    <n v="0"/>
    <n v="2023"/>
    <n v="2"/>
  </r>
  <r>
    <n v="1862"/>
    <n v="107"/>
    <x v="41"/>
    <n v="302.92"/>
    <x v="3"/>
    <x v="4"/>
    <n v="1"/>
    <s v="2023-Feb"/>
    <n v="0"/>
    <n v="2023"/>
    <n v="2"/>
  </r>
  <r>
    <n v="1624"/>
    <n v="391"/>
    <x v="41"/>
    <n v="117.54"/>
    <x v="5"/>
    <x v="2"/>
    <n v="2"/>
    <s v="2023-Feb"/>
    <n v="0"/>
    <n v="2023"/>
    <n v="2"/>
  </r>
  <r>
    <n v="1734"/>
    <n v="498"/>
    <x v="41"/>
    <n v="136.6"/>
    <x v="3"/>
    <x v="0"/>
    <n v="2"/>
    <s v="2023-Feb"/>
    <n v="0"/>
    <n v="2023"/>
    <n v="2"/>
  </r>
  <r>
    <n v="1080"/>
    <n v="86"/>
    <x v="42"/>
    <n v="369"/>
    <x v="1"/>
    <x v="4"/>
    <n v="2"/>
    <s v="2023-Feb"/>
    <n v="0"/>
    <n v="2023"/>
    <n v="2"/>
  </r>
  <r>
    <n v="1824"/>
    <n v="536"/>
    <x v="42"/>
    <n v="331.22"/>
    <x v="3"/>
    <x v="5"/>
    <n v="1"/>
    <s v="2023-Feb"/>
    <n v="0"/>
    <n v="2023"/>
    <n v="2"/>
  </r>
  <r>
    <n v="1957"/>
    <n v="51"/>
    <x v="43"/>
    <n v="278.74"/>
    <x v="7"/>
    <x v="2"/>
    <n v="6"/>
    <s v="2023-Feb"/>
    <n v="0"/>
    <n v="2023"/>
    <n v="2"/>
  </r>
  <r>
    <n v="1322"/>
    <n v="494"/>
    <x v="43"/>
    <n v="103.43"/>
    <x v="7"/>
    <x v="3"/>
    <n v="2"/>
    <s v="2023-Feb"/>
    <n v="0"/>
    <n v="2023"/>
    <n v="2"/>
  </r>
  <r>
    <n v="1728"/>
    <n v="781"/>
    <x v="43"/>
    <n v="274.83"/>
    <x v="3"/>
    <x v="3"/>
    <n v="2"/>
    <s v="2023-Feb"/>
    <n v="0"/>
    <n v="2023"/>
    <n v="2"/>
  </r>
  <r>
    <n v="1496"/>
    <n v="479"/>
    <x v="44"/>
    <n v="243.41"/>
    <x v="4"/>
    <x v="4"/>
    <n v="3"/>
    <s v="2023-Feb"/>
    <n v="0"/>
    <n v="2023"/>
    <n v="2"/>
  </r>
  <r>
    <n v="1992"/>
    <n v="485"/>
    <x v="44"/>
    <n v="212.2"/>
    <x v="3"/>
    <x v="5"/>
    <n v="2"/>
    <s v="2023-Feb"/>
    <n v="0"/>
    <n v="2023"/>
    <n v="2"/>
  </r>
  <r>
    <n v="1473"/>
    <n v="608"/>
    <x v="44"/>
    <n v="344.22"/>
    <x v="4"/>
    <x v="5"/>
    <n v="2"/>
    <s v="2023-Feb"/>
    <n v="0"/>
    <n v="2023"/>
    <n v="2"/>
  </r>
  <r>
    <n v="1040"/>
    <n v="129"/>
    <x v="45"/>
    <n v="121.16"/>
    <x v="2"/>
    <x v="2"/>
    <n v="3"/>
    <s v="2023-Feb"/>
    <n v="0"/>
    <n v="2023"/>
    <n v="2"/>
  </r>
  <r>
    <n v="1498"/>
    <n v="143"/>
    <x v="45"/>
    <n v="181.58"/>
    <x v="2"/>
    <x v="2"/>
    <n v="2"/>
    <s v="2023-Feb"/>
    <n v="0"/>
    <n v="2023"/>
    <n v="2"/>
  </r>
  <r>
    <n v="1653"/>
    <n v="544"/>
    <x v="46"/>
    <n v="485.52"/>
    <x v="4"/>
    <x v="3"/>
    <n v="1"/>
    <s v="2023-Feb"/>
    <n v="0"/>
    <n v="2023"/>
    <n v="2"/>
  </r>
  <r>
    <n v="1703"/>
    <n v="972"/>
    <x v="47"/>
    <n v="439.23"/>
    <x v="3"/>
    <x v="4"/>
    <n v="2"/>
    <s v="2023-Mar"/>
    <n v="0"/>
    <n v="2023"/>
    <n v="3"/>
  </r>
  <r>
    <n v="1995"/>
    <n v="105"/>
    <x v="48"/>
    <n v="389.12"/>
    <x v="1"/>
    <x v="0"/>
    <n v="2"/>
    <s v="2023-Mar"/>
    <n v="0"/>
    <n v="2023"/>
    <n v="3"/>
  </r>
  <r>
    <n v="1998"/>
    <n v="632"/>
    <x v="48"/>
    <n v="330.49"/>
    <x v="5"/>
    <x v="3"/>
    <n v="2"/>
    <s v="2023-Mar"/>
    <n v="0"/>
    <n v="2023"/>
    <n v="3"/>
  </r>
  <r>
    <n v="1738"/>
    <n v="755"/>
    <x v="48"/>
    <n v="387.07"/>
    <x v="2"/>
    <x v="6"/>
    <n v="2"/>
    <s v="2023-Mar"/>
    <n v="0"/>
    <n v="2023"/>
    <n v="3"/>
  </r>
  <r>
    <n v="1663"/>
    <n v="762"/>
    <x v="49"/>
    <n v="199.76"/>
    <x v="3"/>
    <x v="5"/>
    <n v="4"/>
    <s v="2023-Mar"/>
    <n v="0"/>
    <n v="2023"/>
    <n v="3"/>
  </r>
  <r>
    <n v="1914"/>
    <n v="791"/>
    <x v="49"/>
    <n v="217.17"/>
    <x v="2"/>
    <x v="3"/>
    <n v="1"/>
    <s v="2023-Mar"/>
    <n v="0"/>
    <n v="2023"/>
    <n v="3"/>
  </r>
  <r>
    <n v="1121"/>
    <n v="10"/>
    <x v="50"/>
    <n v="379.74"/>
    <x v="2"/>
    <x v="6"/>
    <n v="2"/>
    <s v="2023-Mar"/>
    <n v="0"/>
    <n v="2023"/>
    <n v="3"/>
  </r>
  <r>
    <n v="1374"/>
    <n v="436"/>
    <x v="50"/>
    <n v="255.52"/>
    <x v="7"/>
    <x v="5"/>
    <n v="1"/>
    <s v="2023-Mar"/>
    <n v="0"/>
    <n v="2023"/>
    <n v="3"/>
  </r>
  <r>
    <n v="1276"/>
    <n v="449"/>
    <x v="50"/>
    <n v="185.58"/>
    <x v="2"/>
    <x v="1"/>
    <n v="4"/>
    <s v="2023-Mar"/>
    <n v="0"/>
    <n v="2023"/>
    <n v="3"/>
  </r>
  <r>
    <n v="1270"/>
    <n v="4"/>
    <x v="51"/>
    <n v="234.98"/>
    <x v="5"/>
    <x v="2"/>
    <n v="2"/>
    <s v="2023-Mar"/>
    <n v="1"/>
    <n v="2023"/>
    <n v="3"/>
  </r>
  <r>
    <n v="1004"/>
    <n v="180"/>
    <x v="52"/>
    <n v="98.23"/>
    <x v="1"/>
    <x v="3"/>
    <n v="2"/>
    <s v="2023-Mar"/>
    <n v="1"/>
    <n v="2023"/>
    <n v="3"/>
  </r>
  <r>
    <n v="1034"/>
    <n v="84"/>
    <x v="53"/>
    <n v="423.89"/>
    <x v="3"/>
    <x v="1"/>
    <n v="2"/>
    <s v="2023-Mar"/>
    <n v="1"/>
    <n v="2023"/>
    <n v="3"/>
  </r>
  <r>
    <n v="1623"/>
    <n v="365"/>
    <x v="53"/>
    <n v="378.64"/>
    <x v="4"/>
    <x v="4"/>
    <n v="1"/>
    <s v="2023-Mar"/>
    <n v="0"/>
    <n v="2023"/>
    <n v="3"/>
  </r>
  <r>
    <n v="1126"/>
    <n v="612"/>
    <x v="53"/>
    <n v="79.58"/>
    <x v="4"/>
    <x v="6"/>
    <n v="1"/>
    <s v="2023-Mar"/>
    <n v="0"/>
    <n v="2023"/>
    <n v="3"/>
  </r>
  <r>
    <n v="1510"/>
    <n v="42"/>
    <x v="54"/>
    <n v="308.41000000000003"/>
    <x v="2"/>
    <x v="2"/>
    <n v="4"/>
    <s v="2023-Mar"/>
    <n v="0"/>
    <n v="2023"/>
    <n v="3"/>
  </r>
  <r>
    <n v="1921"/>
    <n v="123"/>
    <x v="55"/>
    <n v="429.7"/>
    <x v="5"/>
    <x v="5"/>
    <n v="2"/>
    <s v="2023-Mar"/>
    <n v="0"/>
    <n v="2023"/>
    <n v="3"/>
  </r>
  <r>
    <n v="1236"/>
    <n v="627"/>
    <x v="55"/>
    <n v="372.15"/>
    <x v="7"/>
    <x v="4"/>
    <n v="1"/>
    <s v="2023-Mar"/>
    <n v="0"/>
    <n v="2023"/>
    <n v="3"/>
  </r>
  <r>
    <n v="1818"/>
    <n v="60"/>
    <x v="56"/>
    <n v="326.89999999999998"/>
    <x v="5"/>
    <x v="2"/>
    <n v="2"/>
    <s v="2023-Mar"/>
    <n v="0"/>
    <n v="2023"/>
    <n v="3"/>
  </r>
  <r>
    <n v="1027"/>
    <n v="225"/>
    <x v="56"/>
    <n v="306.87"/>
    <x v="2"/>
    <x v="2"/>
    <n v="2"/>
    <s v="2023-Mar"/>
    <n v="0"/>
    <n v="2023"/>
    <n v="3"/>
  </r>
  <r>
    <n v="1397"/>
    <n v="419"/>
    <x v="56"/>
    <n v="115.69"/>
    <x v="4"/>
    <x v="3"/>
    <n v="3"/>
    <s v="2023-Mar"/>
    <n v="0"/>
    <n v="2023"/>
    <n v="3"/>
  </r>
  <r>
    <n v="1569"/>
    <n v="564"/>
    <x v="56"/>
    <n v="480.11"/>
    <x v="6"/>
    <x v="2"/>
    <n v="2"/>
    <s v="2023-Mar"/>
    <n v="0"/>
    <n v="2023"/>
    <n v="3"/>
  </r>
  <r>
    <n v="1655"/>
    <n v="944"/>
    <x v="56"/>
    <n v="18.45"/>
    <x v="6"/>
    <x v="3"/>
    <n v="3"/>
    <s v="2023-Mar"/>
    <n v="0"/>
    <n v="2023"/>
    <n v="3"/>
  </r>
  <r>
    <n v="1276"/>
    <n v="31"/>
    <x v="57"/>
    <n v="488.85"/>
    <x v="7"/>
    <x v="1"/>
    <n v="4"/>
    <s v="2023-Mar"/>
    <n v="0"/>
    <n v="2023"/>
    <n v="3"/>
  </r>
  <r>
    <n v="1791"/>
    <n v="122"/>
    <x v="57"/>
    <n v="202.53"/>
    <x v="2"/>
    <x v="5"/>
    <n v="3"/>
    <s v="2023-Mar"/>
    <n v="0"/>
    <n v="2023"/>
    <n v="3"/>
  </r>
  <r>
    <n v="1418"/>
    <n v="147"/>
    <x v="57"/>
    <n v="225.95"/>
    <x v="2"/>
    <x v="6"/>
    <n v="1"/>
    <s v="2023-Mar"/>
    <n v="0"/>
    <n v="2023"/>
    <n v="3"/>
  </r>
  <r>
    <n v="1402"/>
    <n v="294"/>
    <x v="57"/>
    <n v="397.9"/>
    <x v="2"/>
    <x v="1"/>
    <n v="2"/>
    <s v="2023-Mar"/>
    <n v="0"/>
    <n v="2023"/>
    <n v="3"/>
  </r>
  <r>
    <n v="1625"/>
    <n v="505"/>
    <x v="57"/>
    <n v="125.52"/>
    <x v="4"/>
    <x v="2"/>
    <n v="2"/>
    <s v="2023-Mar"/>
    <n v="1"/>
    <n v="2023"/>
    <n v="3"/>
  </r>
  <r>
    <n v="1531"/>
    <n v="930"/>
    <x v="58"/>
    <n v="327.13"/>
    <x v="3"/>
    <x v="1"/>
    <n v="1"/>
    <s v="2023-Mar"/>
    <n v="0"/>
    <n v="2023"/>
    <n v="3"/>
  </r>
  <r>
    <n v="1366"/>
    <n v="77"/>
    <x v="59"/>
    <n v="114.18"/>
    <x v="4"/>
    <x v="2"/>
    <n v="2"/>
    <s v="2023-Mar"/>
    <n v="0"/>
    <n v="2023"/>
    <n v="3"/>
  </r>
  <r>
    <n v="1473"/>
    <n v="659"/>
    <x v="59"/>
    <n v="5.93"/>
    <x v="5"/>
    <x v="6"/>
    <n v="2"/>
    <s v="2023-Mar"/>
    <n v="1"/>
    <n v="2023"/>
    <n v="3"/>
  </r>
  <r>
    <n v="1681"/>
    <n v="525"/>
    <x v="60"/>
    <n v="227.81"/>
    <x v="2"/>
    <x v="2"/>
    <n v="4"/>
    <s v="2023-Mar"/>
    <n v="0"/>
    <n v="2023"/>
    <n v="3"/>
  </r>
  <r>
    <n v="1444"/>
    <n v="874"/>
    <x v="60"/>
    <n v="412.36"/>
    <x v="2"/>
    <x v="4"/>
    <n v="2"/>
    <s v="2023-Mar"/>
    <n v="0"/>
    <n v="2023"/>
    <n v="3"/>
  </r>
  <r>
    <n v="1385"/>
    <n v="28"/>
    <x v="61"/>
    <n v="413.13"/>
    <x v="6"/>
    <x v="1"/>
    <n v="3"/>
    <s v="2023-Mar"/>
    <n v="1"/>
    <n v="2023"/>
    <n v="3"/>
  </r>
  <r>
    <n v="1364"/>
    <n v="442"/>
    <x v="62"/>
    <n v="468.54"/>
    <x v="2"/>
    <x v="1"/>
    <n v="2"/>
    <s v="2023-Mar"/>
    <n v="0"/>
    <n v="2023"/>
    <n v="3"/>
  </r>
  <r>
    <n v="1970"/>
    <n v="947"/>
    <x v="62"/>
    <n v="355.31"/>
    <x v="4"/>
    <x v="6"/>
    <n v="1"/>
    <s v="2023-Mar"/>
    <n v="0"/>
    <n v="2023"/>
    <n v="3"/>
  </r>
  <r>
    <n v="1667"/>
    <n v="956"/>
    <x v="62"/>
    <n v="268.67"/>
    <x v="2"/>
    <x v="6"/>
    <n v="1"/>
    <s v="2023-Mar"/>
    <n v="0"/>
    <n v="2023"/>
    <n v="3"/>
  </r>
  <r>
    <n v="1955"/>
    <n v="30"/>
    <x v="63"/>
    <n v="164.44"/>
    <x v="4"/>
    <x v="1"/>
    <n v="2"/>
    <s v="2023-Mar"/>
    <n v="0"/>
    <n v="2023"/>
    <n v="3"/>
  </r>
  <r>
    <n v="1928"/>
    <n v="518"/>
    <x v="63"/>
    <n v="143.29"/>
    <x v="1"/>
    <x v="4"/>
    <n v="5"/>
    <s v="2023-Mar"/>
    <n v="0"/>
    <n v="2023"/>
    <n v="3"/>
  </r>
  <r>
    <n v="1725"/>
    <n v="170"/>
    <x v="64"/>
    <n v="130.84"/>
    <x v="7"/>
    <x v="2"/>
    <n v="1"/>
    <s v="2023-Mar"/>
    <n v="0"/>
    <n v="2023"/>
    <n v="3"/>
  </r>
  <r>
    <n v="1179"/>
    <n v="675"/>
    <x v="64"/>
    <n v="303.06"/>
    <x v="6"/>
    <x v="3"/>
    <n v="1"/>
    <s v="2023-Mar"/>
    <n v="0"/>
    <n v="2023"/>
    <n v="3"/>
  </r>
  <r>
    <n v="1699"/>
    <n v="484"/>
    <x v="65"/>
    <n v="71.23"/>
    <x v="5"/>
    <x v="1"/>
    <n v="2"/>
    <s v="2023-Mar"/>
    <n v="0"/>
    <n v="2023"/>
    <n v="3"/>
  </r>
  <r>
    <n v="1791"/>
    <n v="504"/>
    <x v="66"/>
    <n v="433.01"/>
    <x v="5"/>
    <x v="4"/>
    <n v="3"/>
    <s v="2023-Mar"/>
    <n v="0"/>
    <n v="2023"/>
    <n v="3"/>
  </r>
  <r>
    <n v="1671"/>
    <n v="300"/>
    <x v="67"/>
    <n v="280.54000000000002"/>
    <x v="5"/>
    <x v="5"/>
    <n v="3"/>
    <s v="2023-Mar"/>
    <n v="0"/>
    <n v="2023"/>
    <n v="3"/>
  </r>
  <r>
    <n v="1253"/>
    <n v="665"/>
    <x v="67"/>
    <n v="204.15"/>
    <x v="2"/>
    <x v="2"/>
    <n v="3"/>
    <s v="2023-Mar"/>
    <n v="1"/>
    <n v="2023"/>
    <n v="3"/>
  </r>
  <r>
    <n v="1734"/>
    <n v="797"/>
    <x v="67"/>
    <n v="232.78"/>
    <x v="1"/>
    <x v="5"/>
    <n v="2"/>
    <s v="2023-Mar"/>
    <n v="1"/>
    <n v="2023"/>
    <n v="3"/>
  </r>
  <r>
    <n v="1709"/>
    <n v="249"/>
    <x v="68"/>
    <n v="276.95999999999998"/>
    <x v="0"/>
    <x v="3"/>
    <n v="2"/>
    <s v="2023-Mar"/>
    <n v="0"/>
    <n v="2023"/>
    <n v="3"/>
  </r>
  <r>
    <n v="1392"/>
    <n v="847"/>
    <x v="69"/>
    <n v="449.11"/>
    <x v="6"/>
    <x v="5"/>
    <n v="4"/>
    <s v="2023-Apr"/>
    <n v="0"/>
    <n v="2023"/>
    <n v="4"/>
  </r>
  <r>
    <n v="1201"/>
    <n v="103"/>
    <x v="70"/>
    <n v="418.82"/>
    <x v="0"/>
    <x v="5"/>
    <n v="1"/>
    <s v="2023-Apr"/>
    <n v="0"/>
    <n v="2023"/>
    <n v="4"/>
  </r>
  <r>
    <n v="1058"/>
    <n v="41"/>
    <x v="71"/>
    <n v="310.22000000000003"/>
    <x v="5"/>
    <x v="6"/>
    <n v="1"/>
    <s v="2023-Apr"/>
    <n v="0"/>
    <n v="2023"/>
    <n v="4"/>
  </r>
  <r>
    <n v="1105"/>
    <n v="94"/>
    <x v="71"/>
    <n v="305.06"/>
    <x v="0"/>
    <x v="6"/>
    <n v="2"/>
    <s v="2023-Apr"/>
    <n v="0"/>
    <n v="2023"/>
    <n v="4"/>
  </r>
  <r>
    <n v="1267"/>
    <n v="273"/>
    <x v="71"/>
    <n v="488.48"/>
    <x v="6"/>
    <x v="2"/>
    <n v="2"/>
    <s v="2023-Apr"/>
    <n v="0"/>
    <n v="2023"/>
    <n v="4"/>
  </r>
  <r>
    <n v="1262"/>
    <n v="361"/>
    <x v="71"/>
    <n v="292.33999999999997"/>
    <x v="5"/>
    <x v="3"/>
    <n v="1"/>
    <s v="2023-Apr"/>
    <n v="0"/>
    <n v="2023"/>
    <n v="4"/>
  </r>
  <r>
    <n v="1685"/>
    <n v="503"/>
    <x v="72"/>
    <n v="67.959999999999994"/>
    <x v="5"/>
    <x v="0"/>
    <n v="1"/>
    <s v="2023-Apr"/>
    <n v="0"/>
    <n v="2023"/>
    <n v="4"/>
  </r>
  <r>
    <n v="1510"/>
    <n v="337"/>
    <x v="73"/>
    <n v="136.12"/>
    <x v="1"/>
    <x v="4"/>
    <n v="4"/>
    <s v="2023-Apr"/>
    <n v="1"/>
    <n v="2023"/>
    <n v="4"/>
  </r>
  <r>
    <n v="1273"/>
    <n v="65"/>
    <x v="74"/>
    <n v="373.42"/>
    <x v="5"/>
    <x v="6"/>
    <n v="1"/>
    <s v="2023-Apr"/>
    <n v="0"/>
    <n v="2023"/>
    <n v="4"/>
  </r>
  <r>
    <n v="1740"/>
    <n v="607"/>
    <x v="74"/>
    <n v="58.43"/>
    <x v="0"/>
    <x v="0"/>
    <n v="1"/>
    <s v="2023-Apr"/>
    <n v="0"/>
    <n v="2023"/>
    <n v="4"/>
  </r>
  <r>
    <n v="1689"/>
    <n v="698"/>
    <x v="74"/>
    <n v="250.6"/>
    <x v="6"/>
    <x v="4"/>
    <n v="1"/>
    <s v="2023-Apr"/>
    <n v="0"/>
    <n v="2023"/>
    <n v="4"/>
  </r>
  <r>
    <n v="1372"/>
    <n v="16"/>
    <x v="75"/>
    <n v="55.88"/>
    <x v="4"/>
    <x v="5"/>
    <n v="4"/>
    <s v="2023-Apr"/>
    <n v="0"/>
    <n v="2023"/>
    <n v="4"/>
  </r>
  <r>
    <n v="1018"/>
    <n v="785"/>
    <x v="75"/>
    <n v="273.56"/>
    <x v="4"/>
    <x v="4"/>
    <n v="1"/>
    <s v="2023-Apr"/>
    <n v="0"/>
    <n v="2023"/>
    <n v="4"/>
  </r>
  <r>
    <n v="1414"/>
    <n v="938"/>
    <x v="75"/>
    <n v="68.78"/>
    <x v="4"/>
    <x v="4"/>
    <n v="3"/>
    <s v="2023-Apr"/>
    <n v="0"/>
    <n v="2023"/>
    <n v="4"/>
  </r>
  <r>
    <n v="1996"/>
    <n v="644"/>
    <x v="76"/>
    <n v="10.46"/>
    <x v="1"/>
    <x v="2"/>
    <n v="2"/>
    <s v="2023-Apr"/>
    <n v="0"/>
    <n v="2023"/>
    <n v="4"/>
  </r>
  <r>
    <n v="1020"/>
    <n v="62"/>
    <x v="77"/>
    <n v="309.79000000000002"/>
    <x v="0"/>
    <x v="4"/>
    <n v="2"/>
    <s v="2023-Apr"/>
    <n v="0"/>
    <n v="2023"/>
    <n v="4"/>
  </r>
  <r>
    <n v="1981"/>
    <n v="317"/>
    <x v="78"/>
    <n v="118.97"/>
    <x v="3"/>
    <x v="3"/>
    <n v="1"/>
    <s v="2023-Apr"/>
    <n v="0"/>
    <n v="2023"/>
    <n v="4"/>
  </r>
  <r>
    <n v="1087"/>
    <n v="15"/>
    <x v="79"/>
    <n v="77.23"/>
    <x v="4"/>
    <x v="1"/>
    <n v="1"/>
    <s v="2023-Apr"/>
    <n v="0"/>
    <n v="2023"/>
    <n v="4"/>
  </r>
  <r>
    <n v="1339"/>
    <n v="75"/>
    <x v="80"/>
    <n v="45.36"/>
    <x v="7"/>
    <x v="3"/>
    <n v="2"/>
    <s v="2023-Apr"/>
    <n v="0"/>
    <n v="2023"/>
    <n v="4"/>
  </r>
  <r>
    <n v="1919"/>
    <n v="388"/>
    <x v="80"/>
    <n v="83.86"/>
    <x v="0"/>
    <x v="0"/>
    <n v="2"/>
    <s v="2023-Apr"/>
    <n v="0"/>
    <n v="2023"/>
    <n v="4"/>
  </r>
  <r>
    <n v="1014"/>
    <n v="131"/>
    <x v="81"/>
    <n v="223.8"/>
    <x v="5"/>
    <x v="2"/>
    <n v="2"/>
    <s v="2023-Apr"/>
    <n v="0"/>
    <n v="2023"/>
    <n v="4"/>
  </r>
  <r>
    <n v="1797"/>
    <n v="775"/>
    <x v="81"/>
    <n v="95.59"/>
    <x v="3"/>
    <x v="1"/>
    <n v="4"/>
    <s v="2023-Apr"/>
    <n v="0"/>
    <n v="2023"/>
    <n v="4"/>
  </r>
  <r>
    <n v="1075"/>
    <n v="640"/>
    <x v="82"/>
    <n v="264.45999999999998"/>
    <x v="7"/>
    <x v="2"/>
    <n v="2"/>
    <s v="2023-Apr"/>
    <n v="0"/>
    <n v="2023"/>
    <n v="4"/>
  </r>
  <r>
    <n v="1042"/>
    <n v="713"/>
    <x v="82"/>
    <n v="465.16"/>
    <x v="7"/>
    <x v="1"/>
    <n v="1"/>
    <s v="2023-Apr"/>
    <n v="0"/>
    <n v="2023"/>
    <n v="4"/>
  </r>
  <r>
    <n v="1502"/>
    <n v="182"/>
    <x v="83"/>
    <n v="82.3"/>
    <x v="7"/>
    <x v="0"/>
    <n v="2"/>
    <s v="2023-Apr"/>
    <n v="1"/>
    <n v="2023"/>
    <n v="4"/>
  </r>
  <r>
    <n v="1149"/>
    <n v="562"/>
    <x v="83"/>
    <n v="134.05000000000001"/>
    <x v="2"/>
    <x v="2"/>
    <n v="1"/>
    <s v="2023-Apr"/>
    <n v="0"/>
    <n v="2023"/>
    <n v="4"/>
  </r>
  <r>
    <n v="1001"/>
    <n v="91"/>
    <x v="84"/>
    <n v="296.08999999999997"/>
    <x v="7"/>
    <x v="3"/>
    <n v="3"/>
    <s v="2023-Apr"/>
    <n v="0"/>
    <n v="2023"/>
    <n v="4"/>
  </r>
  <r>
    <n v="1397"/>
    <n v="184"/>
    <x v="84"/>
    <n v="481.86"/>
    <x v="2"/>
    <x v="2"/>
    <n v="3"/>
    <s v="2023-Apr"/>
    <n v="1"/>
    <n v="2023"/>
    <n v="4"/>
  </r>
  <r>
    <n v="1794"/>
    <n v="186"/>
    <x v="84"/>
    <n v="332.51"/>
    <x v="2"/>
    <x v="5"/>
    <n v="2"/>
    <s v="2023-Apr"/>
    <n v="0"/>
    <n v="2023"/>
    <n v="4"/>
  </r>
  <r>
    <n v="1972"/>
    <n v="245"/>
    <x v="85"/>
    <n v="265.68"/>
    <x v="4"/>
    <x v="4"/>
    <n v="2"/>
    <s v="2023-Apr"/>
    <n v="0"/>
    <n v="2023"/>
    <n v="4"/>
  </r>
  <r>
    <n v="1098"/>
    <n v="473"/>
    <x v="85"/>
    <n v="363.54"/>
    <x v="5"/>
    <x v="2"/>
    <n v="7"/>
    <s v="2023-Apr"/>
    <n v="1"/>
    <n v="2023"/>
    <n v="4"/>
  </r>
  <r>
    <n v="1603"/>
    <n v="603"/>
    <x v="85"/>
    <n v="377.83"/>
    <x v="6"/>
    <x v="3"/>
    <n v="1"/>
    <s v="2023-Apr"/>
    <n v="0"/>
    <n v="2023"/>
    <n v="4"/>
  </r>
  <r>
    <n v="1450"/>
    <n v="884"/>
    <x v="85"/>
    <n v="451.14"/>
    <x v="5"/>
    <x v="6"/>
    <n v="1"/>
    <s v="2023-Apr"/>
    <n v="0"/>
    <n v="2023"/>
    <n v="4"/>
  </r>
  <r>
    <n v="1891"/>
    <n v="474"/>
    <x v="86"/>
    <n v="397.09"/>
    <x v="1"/>
    <x v="1"/>
    <n v="2"/>
    <s v="2023-Apr"/>
    <n v="0"/>
    <n v="2023"/>
    <n v="4"/>
  </r>
  <r>
    <n v="1732"/>
    <n v="829"/>
    <x v="86"/>
    <n v="51.24"/>
    <x v="3"/>
    <x v="0"/>
    <n v="1"/>
    <s v="2023-Apr"/>
    <n v="0"/>
    <n v="2023"/>
    <n v="4"/>
  </r>
  <r>
    <n v="1882"/>
    <n v="546"/>
    <x v="87"/>
    <n v="393"/>
    <x v="7"/>
    <x v="1"/>
    <n v="3"/>
    <s v="2023-Apr"/>
    <n v="0"/>
    <n v="2023"/>
    <n v="4"/>
  </r>
  <r>
    <n v="1008"/>
    <n v="835"/>
    <x v="87"/>
    <n v="379.95"/>
    <x v="1"/>
    <x v="1"/>
    <n v="2"/>
    <s v="2023-Apr"/>
    <n v="0"/>
    <n v="2023"/>
    <n v="4"/>
  </r>
  <r>
    <n v="1956"/>
    <n v="413"/>
    <x v="88"/>
    <n v="74.930000000000007"/>
    <x v="5"/>
    <x v="0"/>
    <n v="2"/>
    <s v="2023-Apr"/>
    <n v="1"/>
    <n v="2023"/>
    <n v="4"/>
  </r>
  <r>
    <n v="1797"/>
    <n v="998"/>
    <x v="88"/>
    <n v="455.78"/>
    <x v="7"/>
    <x v="3"/>
    <n v="4"/>
    <s v="2023-Apr"/>
    <n v="0"/>
    <n v="2023"/>
    <n v="4"/>
  </r>
  <r>
    <n v="1189"/>
    <n v="48"/>
    <x v="89"/>
    <n v="308.07"/>
    <x v="2"/>
    <x v="0"/>
    <n v="5"/>
    <s v="2023-Apr"/>
    <n v="0"/>
    <n v="2023"/>
    <n v="4"/>
  </r>
  <r>
    <n v="1339"/>
    <n v="228"/>
    <x v="89"/>
    <n v="276.51"/>
    <x v="4"/>
    <x v="4"/>
    <n v="2"/>
    <s v="2023-Apr"/>
    <n v="0"/>
    <n v="2023"/>
    <n v="4"/>
  </r>
  <r>
    <n v="1957"/>
    <n v="242"/>
    <x v="89"/>
    <n v="407.81"/>
    <x v="4"/>
    <x v="4"/>
    <n v="6"/>
    <s v="2023-Apr"/>
    <n v="1"/>
    <n v="2023"/>
    <n v="4"/>
  </r>
  <r>
    <n v="1639"/>
    <n v="346"/>
    <x v="89"/>
    <n v="336.45"/>
    <x v="4"/>
    <x v="1"/>
    <n v="3"/>
    <s v="2023-Apr"/>
    <n v="0"/>
    <n v="2023"/>
    <n v="4"/>
  </r>
  <r>
    <n v="1435"/>
    <n v="2"/>
    <x v="90"/>
    <n v="492.25"/>
    <x v="6"/>
    <x v="0"/>
    <n v="1"/>
    <s v="2023-Apr"/>
    <n v="0"/>
    <n v="2023"/>
    <n v="4"/>
  </r>
  <r>
    <n v="1920"/>
    <n v="530"/>
    <x v="90"/>
    <n v="57.32"/>
    <x v="0"/>
    <x v="2"/>
    <n v="2"/>
    <s v="2023-Apr"/>
    <n v="0"/>
    <n v="2023"/>
    <n v="4"/>
  </r>
  <r>
    <n v="1942"/>
    <n v="507"/>
    <x v="91"/>
    <n v="406.29"/>
    <x v="5"/>
    <x v="6"/>
    <n v="3"/>
    <s v="2023-Apr"/>
    <n v="0"/>
    <n v="2023"/>
    <n v="4"/>
  </r>
  <r>
    <n v="1717"/>
    <n v="796"/>
    <x v="91"/>
    <n v="431.68"/>
    <x v="7"/>
    <x v="4"/>
    <n v="1"/>
    <s v="2023-Apr"/>
    <n v="0"/>
    <n v="2023"/>
    <n v="4"/>
  </r>
  <r>
    <n v="1671"/>
    <n v="916"/>
    <x v="91"/>
    <n v="43.15"/>
    <x v="7"/>
    <x v="3"/>
    <n v="3"/>
    <s v="2023-Apr"/>
    <n v="1"/>
    <n v="2023"/>
    <n v="4"/>
  </r>
  <r>
    <n v="1187"/>
    <n v="126"/>
    <x v="92"/>
    <n v="301.36"/>
    <x v="5"/>
    <x v="3"/>
    <n v="1"/>
    <s v="2023-May"/>
    <n v="0"/>
    <n v="2023"/>
    <n v="5"/>
  </r>
  <r>
    <n v="1108"/>
    <n v="818"/>
    <x v="93"/>
    <n v="376.61"/>
    <x v="2"/>
    <x v="3"/>
    <n v="1"/>
    <s v="2023-May"/>
    <n v="0"/>
    <n v="2023"/>
    <n v="5"/>
  </r>
  <r>
    <n v="1871"/>
    <n v="89"/>
    <x v="94"/>
    <n v="273.93"/>
    <x v="0"/>
    <x v="2"/>
    <n v="5"/>
    <s v="2023-May"/>
    <n v="0"/>
    <n v="2023"/>
    <n v="5"/>
  </r>
  <r>
    <n v="1546"/>
    <n v="172"/>
    <x v="94"/>
    <n v="174.61"/>
    <x v="6"/>
    <x v="3"/>
    <n v="3"/>
    <s v="2023-May"/>
    <n v="0"/>
    <n v="2023"/>
    <n v="5"/>
  </r>
  <r>
    <n v="1672"/>
    <n v="387"/>
    <x v="95"/>
    <n v="255.89"/>
    <x v="4"/>
    <x v="4"/>
    <n v="1"/>
    <s v="2023-May"/>
    <n v="0"/>
    <n v="2023"/>
    <n v="5"/>
  </r>
  <r>
    <n v="1971"/>
    <n v="545"/>
    <x v="96"/>
    <n v="471.45"/>
    <x v="3"/>
    <x v="3"/>
    <n v="2"/>
    <s v="2023-May"/>
    <n v="1"/>
    <n v="2023"/>
    <n v="5"/>
  </r>
  <r>
    <n v="1304"/>
    <n v="566"/>
    <x v="96"/>
    <n v="448.43"/>
    <x v="0"/>
    <x v="2"/>
    <n v="2"/>
    <s v="2023-May"/>
    <n v="0"/>
    <n v="2023"/>
    <n v="5"/>
  </r>
  <r>
    <n v="1297"/>
    <n v="359"/>
    <x v="97"/>
    <n v="225.94"/>
    <x v="5"/>
    <x v="5"/>
    <n v="1"/>
    <s v="2023-May"/>
    <n v="0"/>
    <n v="2023"/>
    <n v="5"/>
  </r>
  <r>
    <n v="1655"/>
    <n v="592"/>
    <x v="97"/>
    <n v="440.24"/>
    <x v="0"/>
    <x v="3"/>
    <n v="3"/>
    <s v="2023-May"/>
    <n v="1"/>
    <n v="2023"/>
    <n v="5"/>
  </r>
  <r>
    <n v="1470"/>
    <n v="945"/>
    <x v="97"/>
    <n v="483.29"/>
    <x v="0"/>
    <x v="3"/>
    <n v="2"/>
    <s v="2023-May"/>
    <n v="0"/>
    <n v="2023"/>
    <n v="5"/>
  </r>
  <r>
    <n v="1860"/>
    <n v="637"/>
    <x v="98"/>
    <n v="345.5"/>
    <x v="7"/>
    <x v="2"/>
    <n v="3"/>
    <s v="2023-May"/>
    <n v="0"/>
    <n v="2023"/>
    <n v="5"/>
  </r>
  <r>
    <n v="1674"/>
    <n v="699"/>
    <x v="98"/>
    <n v="93.23"/>
    <x v="0"/>
    <x v="0"/>
    <n v="2"/>
    <s v="2023-May"/>
    <n v="1"/>
    <n v="2023"/>
    <n v="5"/>
  </r>
  <r>
    <n v="1052"/>
    <n v="297"/>
    <x v="99"/>
    <n v="183.58"/>
    <x v="4"/>
    <x v="1"/>
    <n v="3"/>
    <s v="2023-May"/>
    <n v="0"/>
    <n v="2023"/>
    <n v="5"/>
  </r>
  <r>
    <n v="1955"/>
    <n v="78"/>
    <x v="100"/>
    <n v="212.11"/>
    <x v="5"/>
    <x v="5"/>
    <n v="2"/>
    <s v="2023-May"/>
    <n v="1"/>
    <n v="2023"/>
    <n v="5"/>
  </r>
  <r>
    <n v="1119"/>
    <n v="386"/>
    <x v="100"/>
    <n v="306.2"/>
    <x v="2"/>
    <x v="5"/>
    <n v="2"/>
    <s v="2023-May"/>
    <n v="1"/>
    <n v="2023"/>
    <n v="5"/>
  </r>
  <r>
    <n v="1656"/>
    <n v="863"/>
    <x v="100"/>
    <n v="245.25"/>
    <x v="5"/>
    <x v="5"/>
    <n v="2"/>
    <s v="2023-May"/>
    <n v="0"/>
    <n v="2023"/>
    <n v="5"/>
  </r>
  <r>
    <n v="1303"/>
    <n v="370"/>
    <x v="101"/>
    <n v="5.61"/>
    <x v="0"/>
    <x v="2"/>
    <n v="1"/>
    <s v="2023-May"/>
    <n v="0"/>
    <n v="2023"/>
    <n v="5"/>
  </r>
  <r>
    <n v="1242"/>
    <n v="215"/>
    <x v="102"/>
    <n v="221.9"/>
    <x v="7"/>
    <x v="0"/>
    <n v="1"/>
    <s v="2023-May"/>
    <n v="0"/>
    <n v="2023"/>
    <n v="5"/>
  </r>
  <r>
    <n v="1624"/>
    <n v="280"/>
    <x v="102"/>
    <n v="151.16"/>
    <x v="4"/>
    <x v="4"/>
    <n v="2"/>
    <s v="2023-May"/>
    <n v="1"/>
    <n v="2023"/>
    <n v="5"/>
  </r>
  <r>
    <n v="1705"/>
    <n v="409"/>
    <x v="102"/>
    <n v="315.83999999999997"/>
    <x v="4"/>
    <x v="6"/>
    <n v="1"/>
    <s v="2023-May"/>
    <n v="0"/>
    <n v="2023"/>
    <n v="5"/>
  </r>
  <r>
    <n v="1607"/>
    <n v="681"/>
    <x v="102"/>
    <n v="374.23"/>
    <x v="7"/>
    <x v="3"/>
    <n v="2"/>
    <s v="2023-May"/>
    <n v="0"/>
    <n v="2023"/>
    <n v="5"/>
  </r>
  <r>
    <n v="1454"/>
    <n v="79"/>
    <x v="103"/>
    <n v="105.77"/>
    <x v="5"/>
    <x v="6"/>
    <n v="2"/>
    <s v="2023-May"/>
    <n v="1"/>
    <n v="2023"/>
    <n v="5"/>
  </r>
  <r>
    <n v="1317"/>
    <n v="253"/>
    <x v="104"/>
    <n v="412.08"/>
    <x v="1"/>
    <x v="0"/>
    <n v="1"/>
    <s v="2023-May"/>
    <n v="0"/>
    <n v="2023"/>
    <n v="5"/>
  </r>
  <r>
    <n v="1744"/>
    <n v="246"/>
    <x v="105"/>
    <n v="126.8"/>
    <x v="0"/>
    <x v="1"/>
    <n v="2"/>
    <s v="2023-May"/>
    <n v="0"/>
    <n v="2023"/>
    <n v="5"/>
  </r>
  <r>
    <n v="1919"/>
    <n v="753"/>
    <x v="105"/>
    <n v="176.23"/>
    <x v="3"/>
    <x v="5"/>
    <n v="2"/>
    <s v="2023-May"/>
    <n v="1"/>
    <n v="2023"/>
    <n v="5"/>
  </r>
  <r>
    <n v="1232"/>
    <n v="377"/>
    <x v="106"/>
    <n v="14.91"/>
    <x v="4"/>
    <x v="2"/>
    <n v="4"/>
    <s v="2023-May"/>
    <n v="0"/>
    <n v="2023"/>
    <n v="5"/>
  </r>
  <r>
    <n v="1878"/>
    <n v="453"/>
    <x v="106"/>
    <n v="109.82"/>
    <x v="1"/>
    <x v="6"/>
    <n v="2"/>
    <s v="2023-May"/>
    <n v="1"/>
    <n v="2023"/>
    <n v="5"/>
  </r>
  <r>
    <n v="1897"/>
    <n v="720"/>
    <x v="106"/>
    <n v="243.05"/>
    <x v="4"/>
    <x v="1"/>
    <n v="2"/>
    <s v="2023-May"/>
    <n v="0"/>
    <n v="2023"/>
    <n v="5"/>
  </r>
  <r>
    <n v="1074"/>
    <n v="742"/>
    <x v="107"/>
    <n v="394.63"/>
    <x v="6"/>
    <x v="0"/>
    <n v="1"/>
    <s v="2023-May"/>
    <n v="0"/>
    <n v="2023"/>
    <n v="5"/>
  </r>
  <r>
    <n v="1293"/>
    <n v="311"/>
    <x v="108"/>
    <n v="121.44"/>
    <x v="6"/>
    <x v="3"/>
    <n v="1"/>
    <s v="2023-May"/>
    <n v="0"/>
    <n v="2023"/>
    <n v="5"/>
  </r>
  <r>
    <n v="1511"/>
    <n v="464"/>
    <x v="109"/>
    <n v="347.35"/>
    <x v="4"/>
    <x v="3"/>
    <n v="2"/>
    <s v="2023-May"/>
    <n v="0"/>
    <n v="2023"/>
    <n v="5"/>
  </r>
  <r>
    <n v="1191"/>
    <n v="29"/>
    <x v="110"/>
    <n v="182.11"/>
    <x v="3"/>
    <x v="2"/>
    <n v="3"/>
    <s v="2023-May"/>
    <n v="0"/>
    <n v="2023"/>
    <n v="5"/>
  </r>
  <r>
    <n v="1738"/>
    <n v="174"/>
    <x v="110"/>
    <n v="67.239999999999995"/>
    <x v="3"/>
    <x v="6"/>
    <n v="2"/>
    <s v="2023-May"/>
    <n v="1"/>
    <n v="2023"/>
    <n v="5"/>
  </r>
  <r>
    <n v="1836"/>
    <n v="313"/>
    <x v="110"/>
    <n v="239.08"/>
    <x v="1"/>
    <x v="2"/>
    <n v="2"/>
    <s v="2023-May"/>
    <n v="0"/>
    <n v="2023"/>
    <n v="5"/>
  </r>
  <r>
    <n v="1075"/>
    <n v="792"/>
    <x v="110"/>
    <n v="74.78"/>
    <x v="4"/>
    <x v="4"/>
    <n v="2"/>
    <s v="2023-May"/>
    <n v="1"/>
    <n v="2023"/>
    <n v="5"/>
  </r>
  <r>
    <n v="1106"/>
    <n v="5"/>
    <x v="111"/>
    <n v="341.83"/>
    <x v="1"/>
    <x v="1"/>
    <n v="1"/>
    <s v="2023-May"/>
    <n v="0"/>
    <n v="2023"/>
    <n v="5"/>
  </r>
  <r>
    <n v="1766"/>
    <n v="183"/>
    <x v="111"/>
    <n v="121.11"/>
    <x v="4"/>
    <x v="5"/>
    <n v="2"/>
    <s v="2023-May"/>
    <n v="0"/>
    <n v="2023"/>
    <n v="5"/>
  </r>
  <r>
    <n v="1341"/>
    <n v="565"/>
    <x v="111"/>
    <n v="241.74"/>
    <x v="4"/>
    <x v="5"/>
    <n v="3"/>
    <s v="2023-May"/>
    <n v="1"/>
    <n v="2023"/>
    <n v="5"/>
  </r>
  <r>
    <n v="1728"/>
    <n v="746"/>
    <x v="111"/>
    <n v="423.17"/>
    <x v="5"/>
    <x v="0"/>
    <n v="2"/>
    <s v="2023-May"/>
    <n v="1"/>
    <n v="2023"/>
    <n v="5"/>
  </r>
  <r>
    <n v="1392"/>
    <n v="519"/>
    <x v="112"/>
    <n v="465.51"/>
    <x v="6"/>
    <x v="4"/>
    <n v="4"/>
    <s v="2023-May"/>
    <n v="1"/>
    <n v="2023"/>
    <n v="5"/>
  </r>
  <r>
    <n v="1652"/>
    <n v="844"/>
    <x v="112"/>
    <n v="87.19"/>
    <x v="5"/>
    <x v="1"/>
    <n v="2"/>
    <s v="2023-May"/>
    <n v="1"/>
    <n v="2023"/>
    <n v="5"/>
  </r>
  <r>
    <n v="1775"/>
    <n v="445"/>
    <x v="113"/>
    <n v="426.47"/>
    <x v="3"/>
    <x v="3"/>
    <n v="4"/>
    <s v="2023-May"/>
    <n v="0"/>
    <n v="2023"/>
    <n v="5"/>
  </r>
  <r>
    <n v="1057"/>
    <n v="616"/>
    <x v="113"/>
    <n v="372.99"/>
    <x v="1"/>
    <x v="2"/>
    <n v="4"/>
    <s v="2023-May"/>
    <n v="0"/>
    <n v="2023"/>
    <n v="5"/>
  </r>
  <r>
    <n v="1658"/>
    <n v="598"/>
    <x v="114"/>
    <n v="375.35"/>
    <x v="6"/>
    <x v="2"/>
    <n v="5"/>
    <s v="2023-May"/>
    <n v="0"/>
    <n v="2023"/>
    <n v="5"/>
  </r>
  <r>
    <n v="1103"/>
    <n v="517"/>
    <x v="115"/>
    <n v="42.83"/>
    <x v="3"/>
    <x v="2"/>
    <n v="2"/>
    <s v="2023-May"/>
    <n v="0"/>
    <n v="2023"/>
    <n v="5"/>
  </r>
  <r>
    <n v="1851"/>
    <n v="695"/>
    <x v="116"/>
    <n v="153.22"/>
    <x v="7"/>
    <x v="0"/>
    <n v="2"/>
    <s v="2023-Jun"/>
    <n v="0"/>
    <n v="2023"/>
    <n v="6"/>
  </r>
  <r>
    <n v="1612"/>
    <n v="573"/>
    <x v="117"/>
    <n v="262.77999999999997"/>
    <x v="2"/>
    <x v="0"/>
    <n v="4"/>
    <s v="2023-Jun"/>
    <n v="0"/>
    <n v="2023"/>
    <n v="6"/>
  </r>
  <r>
    <n v="1189"/>
    <n v="764"/>
    <x v="117"/>
    <n v="394.92"/>
    <x v="2"/>
    <x v="1"/>
    <n v="5"/>
    <s v="2023-Jun"/>
    <n v="1"/>
    <n v="2023"/>
    <n v="6"/>
  </r>
  <r>
    <n v="1882"/>
    <n v="990"/>
    <x v="117"/>
    <n v="264.99"/>
    <x v="2"/>
    <x v="6"/>
    <n v="3"/>
    <s v="2023-Jun"/>
    <n v="1"/>
    <n v="2023"/>
    <n v="6"/>
  </r>
  <r>
    <n v="1475"/>
    <n v="44"/>
    <x v="118"/>
    <n v="467.92"/>
    <x v="6"/>
    <x v="0"/>
    <n v="2"/>
    <s v="2023-Jun"/>
    <n v="0"/>
    <n v="2023"/>
    <n v="6"/>
  </r>
  <r>
    <n v="1559"/>
    <n v="624"/>
    <x v="118"/>
    <n v="84.62"/>
    <x v="5"/>
    <x v="3"/>
    <n v="1"/>
    <s v="2023-Jun"/>
    <n v="0"/>
    <n v="2023"/>
    <n v="6"/>
  </r>
  <r>
    <n v="1669"/>
    <n v="439"/>
    <x v="119"/>
    <n v="389.48"/>
    <x v="7"/>
    <x v="2"/>
    <n v="2"/>
    <s v="2023-Jun"/>
    <n v="1"/>
    <n v="2023"/>
    <n v="6"/>
  </r>
  <r>
    <n v="1402"/>
    <n v="334"/>
    <x v="120"/>
    <n v="171.93"/>
    <x v="5"/>
    <x v="4"/>
    <n v="2"/>
    <s v="2023-Jun"/>
    <n v="1"/>
    <n v="2023"/>
    <n v="6"/>
  </r>
  <r>
    <n v="1987"/>
    <n v="352"/>
    <x v="120"/>
    <n v="119.26"/>
    <x v="0"/>
    <x v="5"/>
    <n v="2"/>
    <s v="2023-Jun"/>
    <n v="0"/>
    <n v="2023"/>
    <n v="6"/>
  </r>
  <r>
    <n v="1945"/>
    <n v="355"/>
    <x v="120"/>
    <n v="30.91"/>
    <x v="5"/>
    <x v="1"/>
    <n v="2"/>
    <s v="2023-Jun"/>
    <n v="0"/>
    <n v="2023"/>
    <n v="6"/>
  </r>
  <r>
    <n v="1258"/>
    <n v="943"/>
    <x v="120"/>
    <n v="213.61"/>
    <x v="2"/>
    <x v="0"/>
    <n v="2"/>
    <s v="2023-Jun"/>
    <n v="0"/>
    <n v="2023"/>
    <n v="6"/>
  </r>
  <r>
    <n v="1511"/>
    <n v="542"/>
    <x v="121"/>
    <n v="233.66"/>
    <x v="4"/>
    <x v="2"/>
    <n v="2"/>
    <s v="2023-Jun"/>
    <n v="1"/>
    <n v="2023"/>
    <n v="6"/>
  </r>
  <r>
    <n v="1550"/>
    <n v="347"/>
    <x v="122"/>
    <n v="39.619999999999997"/>
    <x v="1"/>
    <x v="3"/>
    <n v="2"/>
    <s v="2023-Jun"/>
    <n v="0"/>
    <n v="2023"/>
    <n v="6"/>
  </r>
  <r>
    <n v="1474"/>
    <n v="694"/>
    <x v="122"/>
    <n v="368.14"/>
    <x v="1"/>
    <x v="6"/>
    <n v="2"/>
    <s v="2023-Jun"/>
    <n v="0"/>
    <n v="2023"/>
    <n v="6"/>
  </r>
  <r>
    <n v="1795"/>
    <n v="795"/>
    <x v="123"/>
    <n v="53.29"/>
    <x v="7"/>
    <x v="5"/>
    <n v="3"/>
    <s v="2023-Jun"/>
    <n v="0"/>
    <n v="2023"/>
    <n v="6"/>
  </r>
  <r>
    <n v="1954"/>
    <n v="433"/>
    <x v="124"/>
    <n v="334.82"/>
    <x v="4"/>
    <x v="3"/>
    <n v="2"/>
    <s v="2023-Jun"/>
    <n v="0"/>
    <n v="2023"/>
    <n v="6"/>
  </r>
  <r>
    <n v="1576"/>
    <n v="709"/>
    <x v="124"/>
    <n v="351.62"/>
    <x v="7"/>
    <x v="1"/>
    <n v="1"/>
    <s v="2023-Jun"/>
    <n v="0"/>
    <n v="2023"/>
    <n v="6"/>
  </r>
  <r>
    <n v="1606"/>
    <n v="482"/>
    <x v="125"/>
    <n v="482.09"/>
    <x v="2"/>
    <x v="3"/>
    <n v="2"/>
    <s v="2023-Jun"/>
    <n v="0"/>
    <n v="2023"/>
    <n v="6"/>
  </r>
  <r>
    <n v="1697"/>
    <n v="964"/>
    <x v="125"/>
    <n v="285.75"/>
    <x v="6"/>
    <x v="4"/>
    <n v="2"/>
    <s v="2023-Jun"/>
    <n v="1"/>
    <n v="2023"/>
    <n v="6"/>
  </r>
  <r>
    <n v="1315"/>
    <n v="965"/>
    <x v="126"/>
    <n v="145.5"/>
    <x v="7"/>
    <x v="1"/>
    <n v="2"/>
    <s v="2023-Jun"/>
    <n v="0"/>
    <n v="2023"/>
    <n v="6"/>
  </r>
  <r>
    <n v="1735"/>
    <n v="291"/>
    <x v="127"/>
    <n v="320.8"/>
    <x v="0"/>
    <x v="1"/>
    <n v="3"/>
    <s v="2023-Jun"/>
    <n v="0"/>
    <n v="2023"/>
    <n v="6"/>
  </r>
  <r>
    <n v="1638"/>
    <n v="511"/>
    <x v="127"/>
    <n v="478.33"/>
    <x v="6"/>
    <x v="6"/>
    <n v="1"/>
    <s v="2023-Jun"/>
    <n v="0"/>
    <n v="2023"/>
    <n v="6"/>
  </r>
  <r>
    <n v="1776"/>
    <n v="71"/>
    <x v="128"/>
    <n v="328.37"/>
    <x v="0"/>
    <x v="5"/>
    <n v="1"/>
    <s v="2023-Jun"/>
    <n v="0"/>
    <n v="2023"/>
    <n v="6"/>
  </r>
  <r>
    <n v="1671"/>
    <n v="263"/>
    <x v="129"/>
    <n v="87.33"/>
    <x v="4"/>
    <x v="5"/>
    <n v="3"/>
    <s v="2023-Jun"/>
    <n v="1"/>
    <n v="2023"/>
    <n v="6"/>
  </r>
  <r>
    <n v="1773"/>
    <n v="582"/>
    <x v="129"/>
    <n v="197.38"/>
    <x v="2"/>
    <x v="2"/>
    <n v="1"/>
    <s v="2023-Jun"/>
    <n v="0"/>
    <n v="2023"/>
    <n v="6"/>
  </r>
  <r>
    <n v="1169"/>
    <n v="846"/>
    <x v="129"/>
    <n v="184.73"/>
    <x v="0"/>
    <x v="2"/>
    <n v="1"/>
    <s v="2023-Jun"/>
    <n v="0"/>
    <n v="2023"/>
    <n v="6"/>
  </r>
  <r>
    <n v="1396"/>
    <n v="716"/>
    <x v="130"/>
    <n v="427.1"/>
    <x v="2"/>
    <x v="4"/>
    <n v="2"/>
    <s v="2023-Jun"/>
    <n v="0"/>
    <n v="2023"/>
    <n v="6"/>
  </r>
  <r>
    <n v="1890"/>
    <n v="810"/>
    <x v="130"/>
    <n v="378.28"/>
    <x v="0"/>
    <x v="1"/>
    <n v="1"/>
    <s v="2023-Jun"/>
    <n v="0"/>
    <n v="2023"/>
    <n v="6"/>
  </r>
  <r>
    <n v="1338"/>
    <n v="856"/>
    <x v="130"/>
    <n v="400.3"/>
    <x v="4"/>
    <x v="4"/>
    <n v="1"/>
    <s v="2023-Jun"/>
    <n v="0"/>
    <n v="2023"/>
    <n v="6"/>
  </r>
  <r>
    <n v="1379"/>
    <n v="700"/>
    <x v="131"/>
    <n v="344.53"/>
    <x v="7"/>
    <x v="6"/>
    <n v="2"/>
    <s v="2023-Jun"/>
    <n v="0"/>
    <n v="2023"/>
    <n v="6"/>
  </r>
  <r>
    <n v="1826"/>
    <n v="261"/>
    <x v="132"/>
    <n v="242.2"/>
    <x v="2"/>
    <x v="1"/>
    <n v="1"/>
    <s v="2023-Jun"/>
    <n v="0"/>
    <n v="2023"/>
    <n v="6"/>
  </r>
  <r>
    <n v="1153"/>
    <n v="641"/>
    <x v="132"/>
    <n v="424.78"/>
    <x v="4"/>
    <x v="1"/>
    <n v="1"/>
    <s v="2023-Jun"/>
    <n v="0"/>
    <n v="2023"/>
    <n v="6"/>
  </r>
  <r>
    <n v="1189"/>
    <n v="237"/>
    <x v="133"/>
    <n v="252.72"/>
    <x v="0"/>
    <x v="3"/>
    <n v="5"/>
    <s v="2023-Jun"/>
    <n v="1"/>
    <n v="2023"/>
    <n v="6"/>
  </r>
  <r>
    <n v="1045"/>
    <n v="470"/>
    <x v="134"/>
    <n v="91.01"/>
    <x v="6"/>
    <x v="4"/>
    <n v="1"/>
    <s v="2023-Jun"/>
    <n v="0"/>
    <n v="2023"/>
    <n v="6"/>
  </r>
  <r>
    <n v="1934"/>
    <n v="822"/>
    <x v="135"/>
    <n v="175.11"/>
    <x v="0"/>
    <x v="2"/>
    <n v="2"/>
    <s v="2023-Jun"/>
    <n v="0"/>
    <n v="2023"/>
    <n v="6"/>
  </r>
  <r>
    <n v="1020"/>
    <n v="8"/>
    <x v="136"/>
    <n v="362.33"/>
    <x v="3"/>
    <x v="1"/>
    <n v="2"/>
    <s v="2023-Jun"/>
    <n v="1"/>
    <n v="2023"/>
    <n v="6"/>
  </r>
  <r>
    <n v="1882"/>
    <n v="434"/>
    <x v="136"/>
    <n v="65.27"/>
    <x v="2"/>
    <x v="0"/>
    <n v="3"/>
    <s v="2023-Jun"/>
    <n v="1"/>
    <n v="2023"/>
    <n v="6"/>
  </r>
  <r>
    <n v="1190"/>
    <n v="487"/>
    <x v="137"/>
    <n v="293.16000000000003"/>
    <x v="4"/>
    <x v="3"/>
    <n v="2"/>
    <s v="2023-Jun"/>
    <n v="1"/>
    <n v="2023"/>
    <n v="6"/>
  </r>
  <r>
    <n v="1200"/>
    <n v="323"/>
    <x v="138"/>
    <n v="75.180000000000007"/>
    <x v="5"/>
    <x v="5"/>
    <n v="3"/>
    <s v="2023-Jun"/>
    <n v="1"/>
    <n v="2023"/>
    <n v="6"/>
  </r>
  <r>
    <n v="1194"/>
    <n v="427"/>
    <x v="138"/>
    <n v="73.900000000000006"/>
    <x v="4"/>
    <x v="2"/>
    <n v="1"/>
    <s v="2023-Jun"/>
    <n v="0"/>
    <n v="2023"/>
    <n v="6"/>
  </r>
  <r>
    <n v="1687"/>
    <n v="431"/>
    <x v="139"/>
    <n v="476.63"/>
    <x v="1"/>
    <x v="0"/>
    <n v="1"/>
    <s v="2023-Jun"/>
    <n v="0"/>
    <n v="2023"/>
    <n v="6"/>
  </r>
  <r>
    <n v="1098"/>
    <n v="402"/>
    <x v="140"/>
    <n v="394.21"/>
    <x v="0"/>
    <x v="5"/>
    <n v="7"/>
    <s v="2023-Jul"/>
    <n v="1"/>
    <n v="2023"/>
    <n v="7"/>
  </r>
  <r>
    <n v="1400"/>
    <n v="428"/>
    <x v="140"/>
    <n v="449.64"/>
    <x v="2"/>
    <x v="2"/>
    <n v="2"/>
    <s v="2023-Jul"/>
    <n v="1"/>
    <n v="2023"/>
    <n v="7"/>
  </r>
  <r>
    <n v="1154"/>
    <n v="512"/>
    <x v="140"/>
    <n v="70.91"/>
    <x v="0"/>
    <x v="0"/>
    <n v="1"/>
    <s v="2023-Jul"/>
    <n v="0"/>
    <n v="2023"/>
    <n v="7"/>
  </r>
  <r>
    <n v="1565"/>
    <n v="93"/>
    <x v="141"/>
    <n v="200.78"/>
    <x v="7"/>
    <x v="0"/>
    <n v="4"/>
    <s v="2023-Jul"/>
    <n v="1"/>
    <n v="2023"/>
    <n v="7"/>
  </r>
  <r>
    <n v="1544"/>
    <n v="701"/>
    <x v="141"/>
    <n v="495.61"/>
    <x v="1"/>
    <x v="6"/>
    <n v="1"/>
    <s v="2023-Jul"/>
    <n v="0"/>
    <n v="2023"/>
    <n v="7"/>
  </r>
  <r>
    <n v="1427"/>
    <n v="80"/>
    <x v="142"/>
    <n v="421.02"/>
    <x v="7"/>
    <x v="6"/>
    <n v="1"/>
    <s v="2023-Jul"/>
    <n v="0"/>
    <n v="2023"/>
    <n v="7"/>
  </r>
  <r>
    <n v="1057"/>
    <n v="604"/>
    <x v="143"/>
    <n v="138.32"/>
    <x v="6"/>
    <x v="0"/>
    <n v="4"/>
    <s v="2023-Jul"/>
    <n v="1"/>
    <n v="2023"/>
    <n v="7"/>
  </r>
  <r>
    <n v="1191"/>
    <n v="754"/>
    <x v="143"/>
    <n v="161.02000000000001"/>
    <x v="7"/>
    <x v="4"/>
    <n v="3"/>
    <s v="2023-Jul"/>
    <n v="1"/>
    <n v="2023"/>
    <n v="7"/>
  </r>
  <r>
    <n v="1907"/>
    <n v="697"/>
    <x v="144"/>
    <n v="320.58999999999997"/>
    <x v="0"/>
    <x v="5"/>
    <n v="2"/>
    <s v="2023-Jul"/>
    <n v="0"/>
    <n v="2023"/>
    <n v="7"/>
  </r>
  <r>
    <n v="1495"/>
    <n v="858"/>
    <x v="145"/>
    <n v="429.15"/>
    <x v="7"/>
    <x v="3"/>
    <n v="1"/>
    <s v="2023-Jul"/>
    <n v="0"/>
    <n v="2023"/>
    <n v="7"/>
  </r>
  <r>
    <n v="1406"/>
    <n v="163"/>
    <x v="146"/>
    <n v="201.7"/>
    <x v="3"/>
    <x v="6"/>
    <n v="2"/>
    <s v="2023-Jul"/>
    <n v="0"/>
    <n v="2023"/>
    <n v="7"/>
  </r>
  <r>
    <n v="1933"/>
    <n v="910"/>
    <x v="146"/>
    <n v="6.89"/>
    <x v="2"/>
    <x v="1"/>
    <n v="1"/>
    <s v="2023-Jul"/>
    <n v="0"/>
    <n v="2023"/>
    <n v="7"/>
  </r>
  <r>
    <n v="1505"/>
    <n v="233"/>
    <x v="147"/>
    <n v="295.60000000000002"/>
    <x v="1"/>
    <x v="6"/>
    <n v="3"/>
    <s v="2023-Jul"/>
    <n v="0"/>
    <n v="2023"/>
    <n v="7"/>
  </r>
  <r>
    <n v="1372"/>
    <n v="471"/>
    <x v="147"/>
    <n v="329.58"/>
    <x v="7"/>
    <x v="1"/>
    <n v="4"/>
    <s v="2023-Jul"/>
    <n v="1"/>
    <n v="2023"/>
    <n v="7"/>
  </r>
  <r>
    <n v="1729"/>
    <n v="100"/>
    <x v="148"/>
    <n v="182.78"/>
    <x v="7"/>
    <x v="5"/>
    <n v="2"/>
    <s v="2023-Jul"/>
    <n v="1"/>
    <n v="2023"/>
    <n v="7"/>
  </r>
  <r>
    <n v="1555"/>
    <n v="101"/>
    <x v="148"/>
    <n v="195"/>
    <x v="4"/>
    <x v="6"/>
    <n v="4"/>
    <s v="2023-Jul"/>
    <n v="1"/>
    <n v="2023"/>
    <n v="7"/>
  </r>
  <r>
    <n v="1024"/>
    <n v="808"/>
    <x v="148"/>
    <n v="274.7"/>
    <x v="6"/>
    <x v="6"/>
    <n v="1"/>
    <s v="2023-Jul"/>
    <n v="0"/>
    <n v="2023"/>
    <n v="7"/>
  </r>
  <r>
    <n v="1710"/>
    <n v="341"/>
    <x v="149"/>
    <n v="186.64"/>
    <x v="7"/>
    <x v="4"/>
    <n v="1"/>
    <s v="2023-Jul"/>
    <n v="0"/>
    <n v="2023"/>
    <n v="7"/>
  </r>
  <r>
    <n v="1368"/>
    <n v="906"/>
    <x v="149"/>
    <n v="20.399999999999999"/>
    <x v="0"/>
    <x v="3"/>
    <n v="2"/>
    <s v="2023-Jul"/>
    <n v="0"/>
    <n v="2023"/>
    <n v="7"/>
  </r>
  <r>
    <n v="1510"/>
    <n v="319"/>
    <x v="150"/>
    <n v="320.79000000000002"/>
    <x v="3"/>
    <x v="0"/>
    <n v="4"/>
    <s v="2023-Jul"/>
    <n v="1"/>
    <n v="2023"/>
    <n v="7"/>
  </r>
  <r>
    <n v="1751"/>
    <n v="982"/>
    <x v="151"/>
    <n v="137.55000000000001"/>
    <x v="3"/>
    <x v="4"/>
    <n v="2"/>
    <s v="2023-Jul"/>
    <n v="0"/>
    <n v="2023"/>
    <n v="7"/>
  </r>
  <r>
    <n v="1550"/>
    <n v="662"/>
    <x v="152"/>
    <n v="87.61"/>
    <x v="1"/>
    <x v="4"/>
    <n v="2"/>
    <s v="2023-Jul"/>
    <n v="1"/>
    <n v="2023"/>
    <n v="7"/>
  </r>
  <r>
    <n v="1958"/>
    <n v="554"/>
    <x v="153"/>
    <n v="259.76"/>
    <x v="0"/>
    <x v="0"/>
    <n v="2"/>
    <s v="2023-Jul"/>
    <n v="0"/>
    <n v="2023"/>
    <n v="7"/>
  </r>
  <r>
    <n v="1117"/>
    <n v="623"/>
    <x v="153"/>
    <n v="219.73"/>
    <x v="4"/>
    <x v="4"/>
    <n v="1"/>
    <s v="2023-Jul"/>
    <n v="0"/>
    <n v="2023"/>
    <n v="7"/>
  </r>
  <r>
    <n v="1821"/>
    <n v="410"/>
    <x v="154"/>
    <n v="338.78"/>
    <x v="5"/>
    <x v="3"/>
    <n v="2"/>
    <s v="2023-Jul"/>
    <n v="0"/>
    <n v="2023"/>
    <n v="7"/>
  </r>
  <r>
    <n v="1561"/>
    <n v="88"/>
    <x v="155"/>
    <n v="254.9"/>
    <x v="7"/>
    <x v="3"/>
    <n v="1"/>
    <s v="2023-Jul"/>
    <n v="0"/>
    <n v="2023"/>
    <n v="7"/>
  </r>
  <r>
    <n v="1255"/>
    <n v="991"/>
    <x v="156"/>
    <n v="21.16"/>
    <x v="7"/>
    <x v="6"/>
    <n v="2"/>
    <s v="2023-Jul"/>
    <n v="0"/>
    <n v="2023"/>
    <n v="7"/>
  </r>
  <r>
    <n v="1504"/>
    <n v="57"/>
    <x v="157"/>
    <n v="222.11"/>
    <x v="1"/>
    <x v="5"/>
    <n v="2"/>
    <s v="2023-Jul"/>
    <n v="0"/>
    <n v="2023"/>
    <n v="7"/>
  </r>
  <r>
    <n v="1868"/>
    <n v="969"/>
    <x v="158"/>
    <n v="366.47"/>
    <x v="3"/>
    <x v="0"/>
    <n v="2"/>
    <s v="2023-Jul"/>
    <n v="0"/>
    <n v="2023"/>
    <n v="7"/>
  </r>
  <r>
    <n v="1470"/>
    <n v="547"/>
    <x v="159"/>
    <n v="180.65"/>
    <x v="2"/>
    <x v="3"/>
    <n v="2"/>
    <s v="2023-Jul"/>
    <n v="1"/>
    <n v="2023"/>
    <n v="7"/>
  </r>
  <r>
    <n v="1658"/>
    <n v="379"/>
    <x v="160"/>
    <n v="385.46"/>
    <x v="5"/>
    <x v="0"/>
    <n v="5"/>
    <s v="2023-Jul"/>
    <n v="1"/>
    <n v="2023"/>
    <n v="7"/>
  </r>
  <r>
    <n v="1815"/>
    <n v="421"/>
    <x v="160"/>
    <n v="288.66000000000003"/>
    <x v="3"/>
    <x v="4"/>
    <n v="4"/>
    <s v="2023-Jul"/>
    <n v="0"/>
    <n v="2023"/>
    <n v="7"/>
  </r>
  <r>
    <n v="1172"/>
    <n v="917"/>
    <x v="160"/>
    <n v="173.49"/>
    <x v="0"/>
    <x v="4"/>
    <n v="2"/>
    <s v="2023-Jul"/>
    <n v="0"/>
    <n v="2023"/>
    <n v="7"/>
  </r>
  <r>
    <n v="1942"/>
    <n v="176"/>
    <x v="161"/>
    <n v="76.05"/>
    <x v="6"/>
    <x v="3"/>
    <n v="3"/>
    <s v="2023-Jul"/>
    <n v="1"/>
    <n v="2023"/>
    <n v="7"/>
  </r>
  <r>
    <n v="1379"/>
    <n v="127"/>
    <x v="162"/>
    <n v="201.35"/>
    <x v="6"/>
    <x v="1"/>
    <n v="2"/>
    <s v="2023-Aug"/>
    <n v="1"/>
    <n v="2023"/>
    <n v="8"/>
  </r>
  <r>
    <n v="1959"/>
    <n v="454"/>
    <x v="163"/>
    <n v="244.88"/>
    <x v="4"/>
    <x v="3"/>
    <n v="1"/>
    <s v="2023-Aug"/>
    <n v="0"/>
    <n v="2023"/>
    <n v="8"/>
  </r>
  <r>
    <n v="1288"/>
    <n v="148"/>
    <x v="164"/>
    <n v="432.79"/>
    <x v="1"/>
    <x v="1"/>
    <n v="2"/>
    <s v="2023-Aug"/>
    <n v="0"/>
    <n v="2023"/>
    <n v="8"/>
  </r>
  <r>
    <n v="1871"/>
    <n v="349"/>
    <x v="164"/>
    <n v="139.22"/>
    <x v="7"/>
    <x v="6"/>
    <n v="5"/>
    <s v="2023-Aug"/>
    <n v="1"/>
    <n v="2023"/>
    <n v="8"/>
  </r>
  <r>
    <n v="1203"/>
    <n v="656"/>
    <x v="164"/>
    <n v="112.52"/>
    <x v="2"/>
    <x v="5"/>
    <n v="1"/>
    <s v="2023-Aug"/>
    <n v="0"/>
    <n v="2023"/>
    <n v="8"/>
  </r>
  <r>
    <n v="1264"/>
    <n v="793"/>
    <x v="164"/>
    <n v="333.77"/>
    <x v="6"/>
    <x v="1"/>
    <n v="1"/>
    <s v="2023-Aug"/>
    <n v="0"/>
    <n v="2023"/>
    <n v="8"/>
  </r>
  <r>
    <n v="1173"/>
    <n v="843"/>
    <x v="164"/>
    <n v="281.12"/>
    <x v="5"/>
    <x v="4"/>
    <n v="1"/>
    <s v="2023-Aug"/>
    <n v="0"/>
    <n v="2023"/>
    <n v="8"/>
  </r>
  <r>
    <n v="1466"/>
    <n v="11"/>
    <x v="165"/>
    <n v="476.56"/>
    <x v="7"/>
    <x v="4"/>
    <n v="1"/>
    <s v="2023-Aug"/>
    <n v="0"/>
    <n v="2023"/>
    <n v="8"/>
  </r>
  <r>
    <n v="1188"/>
    <n v="631"/>
    <x v="165"/>
    <n v="440.51"/>
    <x v="5"/>
    <x v="3"/>
    <n v="1"/>
    <s v="2023-Aug"/>
    <n v="0"/>
    <n v="2023"/>
    <n v="8"/>
  </r>
  <r>
    <n v="1008"/>
    <n v="376"/>
    <x v="166"/>
    <n v="487.21"/>
    <x v="1"/>
    <x v="3"/>
    <n v="2"/>
    <s v="2023-Aug"/>
    <n v="1"/>
    <n v="2023"/>
    <n v="8"/>
  </r>
  <r>
    <n v="1880"/>
    <n v="777"/>
    <x v="166"/>
    <n v="361.4"/>
    <x v="0"/>
    <x v="5"/>
    <n v="2"/>
    <s v="2023-Aug"/>
    <n v="1"/>
    <n v="2023"/>
    <n v="8"/>
  </r>
  <r>
    <n v="1744"/>
    <n v="475"/>
    <x v="167"/>
    <n v="205.38"/>
    <x v="3"/>
    <x v="5"/>
    <n v="2"/>
    <s v="2023-Aug"/>
    <n v="1"/>
    <n v="2023"/>
    <n v="8"/>
  </r>
  <r>
    <n v="1504"/>
    <n v="903"/>
    <x v="167"/>
    <n v="404.07"/>
    <x v="7"/>
    <x v="3"/>
    <n v="2"/>
    <s v="2023-Aug"/>
    <n v="1"/>
    <n v="2023"/>
    <n v="8"/>
  </r>
  <r>
    <n v="1573"/>
    <n v="221"/>
    <x v="168"/>
    <n v="151.94999999999999"/>
    <x v="5"/>
    <x v="4"/>
    <n v="2"/>
    <s v="2023-Aug"/>
    <n v="0"/>
    <n v="2023"/>
    <n v="8"/>
  </r>
  <r>
    <n v="1791"/>
    <n v="686"/>
    <x v="168"/>
    <n v="189.86"/>
    <x v="4"/>
    <x v="5"/>
    <n v="3"/>
    <s v="2023-Aug"/>
    <n v="1"/>
    <n v="2023"/>
    <n v="8"/>
  </r>
  <r>
    <n v="1219"/>
    <n v="888"/>
    <x v="168"/>
    <n v="410.53"/>
    <x v="1"/>
    <x v="3"/>
    <n v="4"/>
    <s v="2023-Aug"/>
    <n v="1"/>
    <n v="2023"/>
    <n v="8"/>
  </r>
  <r>
    <n v="1071"/>
    <n v="6"/>
    <x v="169"/>
    <n v="200.79"/>
    <x v="0"/>
    <x v="3"/>
    <n v="1"/>
    <s v="2023-Aug"/>
    <n v="0"/>
    <n v="2023"/>
    <n v="8"/>
  </r>
  <r>
    <n v="1657"/>
    <n v="832"/>
    <x v="169"/>
    <n v="97.43"/>
    <x v="7"/>
    <x v="6"/>
    <n v="1"/>
    <s v="2023-Aug"/>
    <n v="0"/>
    <n v="2023"/>
    <n v="8"/>
  </r>
  <r>
    <n v="1857"/>
    <n v="880"/>
    <x v="169"/>
    <n v="459.51"/>
    <x v="6"/>
    <x v="6"/>
    <n v="2"/>
    <s v="2023-Aug"/>
    <n v="0"/>
    <n v="2023"/>
    <n v="8"/>
  </r>
  <r>
    <n v="1386"/>
    <n v="899"/>
    <x v="169"/>
    <n v="308.82"/>
    <x v="4"/>
    <x v="5"/>
    <n v="2"/>
    <s v="2023-Aug"/>
    <n v="0"/>
    <n v="2023"/>
    <n v="8"/>
  </r>
  <r>
    <n v="1632"/>
    <n v="243"/>
    <x v="170"/>
    <n v="58.91"/>
    <x v="7"/>
    <x v="5"/>
    <n v="1"/>
    <s v="2023-Aug"/>
    <n v="0"/>
    <n v="2023"/>
    <n v="8"/>
  </r>
  <r>
    <n v="1883"/>
    <n v="314"/>
    <x v="170"/>
    <n v="270"/>
    <x v="1"/>
    <x v="6"/>
    <n v="2"/>
    <s v="2023-Aug"/>
    <n v="0"/>
    <n v="2023"/>
    <n v="8"/>
  </r>
  <r>
    <n v="1902"/>
    <n v="535"/>
    <x v="171"/>
    <n v="374.37"/>
    <x v="3"/>
    <x v="1"/>
    <n v="2"/>
    <s v="2023-Aug"/>
    <n v="0"/>
    <n v="2023"/>
    <n v="8"/>
  </r>
  <r>
    <n v="1662"/>
    <n v="763"/>
    <x v="171"/>
    <n v="414.79"/>
    <x v="3"/>
    <x v="0"/>
    <n v="2"/>
    <s v="2023-Aug"/>
    <n v="0"/>
    <n v="2023"/>
    <n v="8"/>
  </r>
  <r>
    <n v="1272"/>
    <n v="776"/>
    <x v="171"/>
    <n v="15.91"/>
    <x v="4"/>
    <x v="2"/>
    <n v="1"/>
    <s v="2023-Aug"/>
    <n v="0"/>
    <n v="2023"/>
    <n v="8"/>
  </r>
  <r>
    <n v="1038"/>
    <n v="817"/>
    <x v="171"/>
    <n v="282.29000000000002"/>
    <x v="1"/>
    <x v="1"/>
    <n v="3"/>
    <s v="2023-Aug"/>
    <n v="1"/>
    <n v="2023"/>
    <n v="8"/>
  </r>
  <r>
    <n v="1950"/>
    <n v="605"/>
    <x v="172"/>
    <n v="272.08"/>
    <x v="6"/>
    <x v="4"/>
    <n v="1"/>
    <s v="2023-Aug"/>
    <n v="0"/>
    <n v="2023"/>
    <n v="8"/>
  </r>
  <r>
    <n v="1212"/>
    <n v="923"/>
    <x v="172"/>
    <n v="207.11"/>
    <x v="0"/>
    <x v="3"/>
    <n v="1"/>
    <s v="2023-Aug"/>
    <n v="0"/>
    <n v="2023"/>
    <n v="8"/>
  </r>
  <r>
    <n v="1870"/>
    <n v="185"/>
    <x v="173"/>
    <n v="131.38"/>
    <x v="3"/>
    <x v="2"/>
    <n v="1"/>
    <s v="2023-Aug"/>
    <n v="0"/>
    <n v="2023"/>
    <n v="8"/>
  </r>
  <r>
    <n v="1337"/>
    <n v="348"/>
    <x v="173"/>
    <n v="321.88"/>
    <x v="2"/>
    <x v="3"/>
    <n v="3"/>
    <s v="2023-Aug"/>
    <n v="0"/>
    <n v="2023"/>
    <n v="8"/>
  </r>
  <r>
    <n v="1130"/>
    <n v="58"/>
    <x v="174"/>
    <n v="363.79"/>
    <x v="3"/>
    <x v="3"/>
    <n v="3"/>
    <s v="2023-Aug"/>
    <n v="0"/>
    <n v="2023"/>
    <n v="8"/>
  </r>
  <r>
    <n v="1681"/>
    <n v="219"/>
    <x v="174"/>
    <n v="435.11"/>
    <x v="1"/>
    <x v="0"/>
    <n v="4"/>
    <s v="2023-Aug"/>
    <n v="1"/>
    <n v="2023"/>
    <n v="8"/>
  </r>
  <r>
    <n v="1565"/>
    <n v="288"/>
    <x v="174"/>
    <n v="265.62"/>
    <x v="5"/>
    <x v="2"/>
    <n v="4"/>
    <s v="2023-Aug"/>
    <n v="1"/>
    <n v="2023"/>
    <n v="8"/>
  </r>
  <r>
    <n v="1017"/>
    <n v="496"/>
    <x v="174"/>
    <n v="26.1"/>
    <x v="0"/>
    <x v="6"/>
    <n v="1"/>
    <s v="2023-Aug"/>
    <n v="0"/>
    <n v="2023"/>
    <n v="8"/>
  </r>
  <r>
    <n v="1962"/>
    <n v="639"/>
    <x v="174"/>
    <n v="271.64999999999998"/>
    <x v="4"/>
    <x v="6"/>
    <n v="2"/>
    <s v="2023-Aug"/>
    <n v="0"/>
    <n v="2023"/>
    <n v="8"/>
  </r>
  <r>
    <n v="1871"/>
    <n v="169"/>
    <x v="175"/>
    <n v="292.16000000000003"/>
    <x v="5"/>
    <x v="2"/>
    <n v="5"/>
    <s v="2023-Aug"/>
    <n v="1"/>
    <n v="2023"/>
    <n v="8"/>
  </r>
  <r>
    <n v="1954"/>
    <n v="332"/>
    <x v="175"/>
    <n v="410.26"/>
    <x v="6"/>
    <x v="3"/>
    <n v="2"/>
    <s v="2023-Aug"/>
    <n v="1"/>
    <n v="2023"/>
    <n v="8"/>
  </r>
  <r>
    <n v="1719"/>
    <n v="117"/>
    <x v="176"/>
    <n v="291.81"/>
    <x v="0"/>
    <x v="2"/>
    <n v="2"/>
    <s v="2023-Aug"/>
    <n v="0"/>
    <n v="2023"/>
    <n v="8"/>
  </r>
  <r>
    <n v="1217"/>
    <n v="181"/>
    <x v="176"/>
    <n v="366.76"/>
    <x v="7"/>
    <x v="5"/>
    <n v="2"/>
    <s v="2023-Aug"/>
    <n v="0"/>
    <n v="2023"/>
    <n v="8"/>
  </r>
  <r>
    <n v="1172"/>
    <n v="885"/>
    <x v="176"/>
    <n v="327.58"/>
    <x v="6"/>
    <x v="3"/>
    <n v="2"/>
    <s v="2023-Aug"/>
    <n v="1"/>
    <n v="2023"/>
    <n v="8"/>
  </r>
  <r>
    <n v="1000"/>
    <n v="898"/>
    <x v="176"/>
    <n v="99.67"/>
    <x v="7"/>
    <x v="5"/>
    <n v="1"/>
    <s v="2023-Aug"/>
    <n v="0"/>
    <n v="2023"/>
    <n v="8"/>
  </r>
  <r>
    <n v="1050"/>
    <n v="556"/>
    <x v="177"/>
    <n v="392.33"/>
    <x v="5"/>
    <x v="2"/>
    <n v="1"/>
    <s v="2023-Aug"/>
    <n v="0"/>
    <n v="2023"/>
    <n v="8"/>
  </r>
  <r>
    <n v="1562"/>
    <n v="52"/>
    <x v="178"/>
    <n v="300.75"/>
    <x v="5"/>
    <x v="6"/>
    <n v="2"/>
    <s v="2023-Aug"/>
    <n v="0"/>
    <n v="2023"/>
    <n v="8"/>
  </r>
  <r>
    <n v="1385"/>
    <n v="276"/>
    <x v="178"/>
    <n v="66"/>
    <x v="2"/>
    <x v="4"/>
    <n v="3"/>
    <s v="2023-Aug"/>
    <n v="1"/>
    <n v="2023"/>
    <n v="8"/>
  </r>
  <r>
    <n v="1920"/>
    <n v="994"/>
    <x v="178"/>
    <n v="478.13"/>
    <x v="7"/>
    <x v="1"/>
    <n v="2"/>
    <s v="2023-Aug"/>
    <n v="1"/>
    <n v="2023"/>
    <n v="8"/>
  </r>
  <r>
    <n v="1833"/>
    <n v="551"/>
    <x v="179"/>
    <n v="39.01"/>
    <x v="4"/>
    <x v="0"/>
    <n v="1"/>
    <s v="2023-Aug"/>
    <n v="0"/>
    <n v="2023"/>
    <n v="8"/>
  </r>
  <r>
    <n v="1700"/>
    <n v="7"/>
    <x v="180"/>
    <n v="487.48"/>
    <x v="5"/>
    <x v="6"/>
    <n v="1"/>
    <s v="2023-Aug"/>
    <n v="0"/>
    <n v="2023"/>
    <n v="8"/>
  </r>
  <r>
    <n v="1492"/>
    <n v="128"/>
    <x v="180"/>
    <n v="122.33"/>
    <x v="4"/>
    <x v="4"/>
    <n v="2"/>
    <s v="2023-Aug"/>
    <n v="0"/>
    <n v="2023"/>
    <n v="8"/>
  </r>
  <r>
    <n v="1127"/>
    <n v="495"/>
    <x v="180"/>
    <n v="36.99"/>
    <x v="7"/>
    <x v="5"/>
    <n v="1"/>
    <s v="2023-Aug"/>
    <n v="0"/>
    <n v="2023"/>
    <n v="8"/>
  </r>
  <r>
    <n v="1601"/>
    <n v="732"/>
    <x v="180"/>
    <n v="70.02"/>
    <x v="6"/>
    <x v="0"/>
    <n v="1"/>
    <s v="2023-Aug"/>
    <n v="0"/>
    <n v="2023"/>
    <n v="8"/>
  </r>
  <r>
    <n v="1823"/>
    <n v="908"/>
    <x v="181"/>
    <n v="57.64"/>
    <x v="3"/>
    <x v="5"/>
    <n v="2"/>
    <s v="2023-Aug"/>
    <n v="0"/>
    <n v="2023"/>
    <n v="8"/>
  </r>
  <r>
    <n v="1085"/>
    <n v="216"/>
    <x v="182"/>
    <n v="451.18"/>
    <x v="4"/>
    <x v="1"/>
    <n v="2"/>
    <s v="2023-Aug"/>
    <n v="0"/>
    <n v="2023"/>
    <n v="8"/>
  </r>
  <r>
    <n v="1278"/>
    <n v="771"/>
    <x v="182"/>
    <n v="172.44"/>
    <x v="4"/>
    <x v="3"/>
    <n v="1"/>
    <s v="2023-Aug"/>
    <n v="0"/>
    <n v="2023"/>
    <n v="8"/>
  </r>
  <r>
    <n v="1160"/>
    <n v="416"/>
    <x v="183"/>
    <n v="164.65"/>
    <x v="2"/>
    <x v="6"/>
    <n v="3"/>
    <s v="2023-Sep"/>
    <n v="0"/>
    <n v="2023"/>
    <n v="9"/>
  </r>
  <r>
    <n v="1512"/>
    <n v="618"/>
    <x v="183"/>
    <n v="57.44"/>
    <x v="1"/>
    <x v="3"/>
    <n v="2"/>
    <s v="2023-Sep"/>
    <n v="0"/>
    <n v="2023"/>
    <n v="9"/>
  </r>
  <r>
    <n v="1775"/>
    <n v="728"/>
    <x v="184"/>
    <n v="391.21"/>
    <x v="2"/>
    <x v="5"/>
    <n v="4"/>
    <s v="2023-Sep"/>
    <n v="1"/>
    <n v="2023"/>
    <n v="9"/>
  </r>
  <r>
    <n v="1241"/>
    <n v="70"/>
    <x v="185"/>
    <n v="15.33"/>
    <x v="1"/>
    <x v="2"/>
    <n v="2"/>
    <s v="2023-Sep"/>
    <n v="0"/>
    <n v="2023"/>
    <n v="9"/>
  </r>
  <r>
    <n v="1216"/>
    <n v="124"/>
    <x v="185"/>
    <n v="9.4700000000000006"/>
    <x v="0"/>
    <x v="6"/>
    <n v="3"/>
    <s v="2023-Sep"/>
    <n v="0"/>
    <n v="2023"/>
    <n v="9"/>
  </r>
  <r>
    <n v="1699"/>
    <n v="45"/>
    <x v="186"/>
    <n v="473.94"/>
    <x v="3"/>
    <x v="0"/>
    <n v="2"/>
    <s v="2023-Sep"/>
    <n v="1"/>
    <n v="2023"/>
    <n v="9"/>
  </r>
  <r>
    <n v="1222"/>
    <n v="676"/>
    <x v="186"/>
    <n v="16.350000000000001"/>
    <x v="6"/>
    <x v="0"/>
    <n v="2"/>
    <s v="2023-Sep"/>
    <n v="0"/>
    <n v="2023"/>
    <n v="9"/>
  </r>
  <r>
    <n v="1301"/>
    <n v="719"/>
    <x v="187"/>
    <n v="233.56"/>
    <x v="6"/>
    <x v="2"/>
    <n v="2"/>
    <s v="2023-Sep"/>
    <n v="0"/>
    <n v="2023"/>
    <n v="9"/>
  </r>
  <r>
    <n v="1185"/>
    <n v="821"/>
    <x v="187"/>
    <n v="51.61"/>
    <x v="2"/>
    <x v="6"/>
    <n v="1"/>
    <s v="2023-Sep"/>
    <n v="0"/>
    <n v="2023"/>
    <n v="9"/>
  </r>
  <r>
    <n v="1647"/>
    <n v="139"/>
    <x v="188"/>
    <n v="130"/>
    <x v="4"/>
    <x v="0"/>
    <n v="3"/>
    <s v="2023-Sep"/>
    <n v="0"/>
    <n v="2023"/>
    <n v="9"/>
  </r>
  <r>
    <n v="1863"/>
    <n v="340"/>
    <x v="189"/>
    <n v="203.59"/>
    <x v="2"/>
    <x v="3"/>
    <n v="2"/>
    <s v="2023-Sep"/>
    <n v="0"/>
    <n v="2023"/>
    <n v="9"/>
  </r>
  <r>
    <n v="1001"/>
    <n v="368"/>
    <x v="189"/>
    <n v="214.23"/>
    <x v="6"/>
    <x v="3"/>
    <n v="3"/>
    <s v="2023-Sep"/>
    <n v="1"/>
    <n v="2023"/>
    <n v="9"/>
  </r>
  <r>
    <n v="1505"/>
    <n v="534"/>
    <x v="190"/>
    <n v="23.82"/>
    <x v="4"/>
    <x v="6"/>
    <n v="3"/>
    <s v="2023-Sep"/>
    <n v="1"/>
    <n v="2023"/>
    <n v="9"/>
  </r>
  <r>
    <n v="1520"/>
    <n v="136"/>
    <x v="191"/>
    <n v="227.47"/>
    <x v="4"/>
    <x v="3"/>
    <n v="1"/>
    <s v="2023-Sep"/>
    <n v="0"/>
    <n v="2023"/>
    <n v="9"/>
  </r>
  <r>
    <n v="1675"/>
    <n v="961"/>
    <x v="191"/>
    <n v="38.83"/>
    <x v="6"/>
    <x v="1"/>
    <n v="3"/>
    <s v="2023-Sep"/>
    <n v="1"/>
    <n v="2023"/>
    <n v="9"/>
  </r>
  <r>
    <n v="1181"/>
    <n v="876"/>
    <x v="192"/>
    <n v="192.62"/>
    <x v="4"/>
    <x v="3"/>
    <n v="1"/>
    <s v="2023-Sep"/>
    <n v="0"/>
    <n v="2023"/>
    <n v="9"/>
  </r>
  <r>
    <n v="1224"/>
    <n v="255"/>
    <x v="193"/>
    <n v="448.87"/>
    <x v="2"/>
    <x v="1"/>
    <n v="3"/>
    <s v="2023-Sep"/>
    <n v="1"/>
    <n v="2023"/>
    <n v="9"/>
  </r>
  <r>
    <n v="1595"/>
    <n v="779"/>
    <x v="193"/>
    <n v="48.98"/>
    <x v="0"/>
    <x v="4"/>
    <n v="1"/>
    <s v="2023-Sep"/>
    <n v="0"/>
    <n v="2023"/>
    <n v="9"/>
  </r>
  <r>
    <n v="1663"/>
    <n v="259"/>
    <x v="194"/>
    <n v="193.14"/>
    <x v="6"/>
    <x v="4"/>
    <n v="4"/>
    <s v="2023-Sep"/>
    <n v="1"/>
    <n v="2023"/>
    <n v="9"/>
  </r>
  <r>
    <n v="1472"/>
    <n v="354"/>
    <x v="194"/>
    <n v="99.21"/>
    <x v="2"/>
    <x v="5"/>
    <n v="3"/>
    <s v="2023-Sep"/>
    <n v="1"/>
    <n v="2023"/>
    <n v="9"/>
  </r>
  <r>
    <n v="1827"/>
    <n v="533"/>
    <x v="194"/>
    <n v="28.68"/>
    <x v="1"/>
    <x v="4"/>
    <n v="1"/>
    <s v="2023-Sep"/>
    <n v="0"/>
    <n v="2023"/>
    <n v="9"/>
  </r>
  <r>
    <n v="1143"/>
    <n v="815"/>
    <x v="194"/>
    <n v="131.47"/>
    <x v="3"/>
    <x v="1"/>
    <n v="4"/>
    <s v="2023-Sep"/>
    <n v="0"/>
    <n v="2023"/>
    <n v="9"/>
  </r>
  <r>
    <n v="1518"/>
    <n v="842"/>
    <x v="195"/>
    <n v="226.56"/>
    <x v="1"/>
    <x v="1"/>
    <n v="1"/>
    <s v="2023-Sep"/>
    <n v="0"/>
    <n v="2023"/>
    <n v="9"/>
  </r>
  <r>
    <n v="1348"/>
    <n v="478"/>
    <x v="196"/>
    <n v="265.12"/>
    <x v="3"/>
    <x v="6"/>
    <n v="2"/>
    <s v="2023-Sep"/>
    <n v="0"/>
    <n v="2023"/>
    <n v="9"/>
  </r>
  <r>
    <n v="1322"/>
    <n v="501"/>
    <x v="196"/>
    <n v="136.68"/>
    <x v="3"/>
    <x v="2"/>
    <n v="2"/>
    <s v="2023-Sep"/>
    <n v="1"/>
    <n v="2023"/>
    <n v="9"/>
  </r>
  <r>
    <n v="1114"/>
    <n v="734"/>
    <x v="197"/>
    <n v="461.7"/>
    <x v="6"/>
    <x v="6"/>
    <n v="1"/>
    <s v="2023-Sep"/>
    <n v="0"/>
    <n v="2023"/>
    <n v="9"/>
  </r>
  <r>
    <n v="1366"/>
    <n v="802"/>
    <x v="198"/>
    <n v="181.21"/>
    <x v="7"/>
    <x v="4"/>
    <n v="2"/>
    <s v="2023-Sep"/>
    <n v="1"/>
    <n v="2023"/>
    <n v="9"/>
  </r>
  <r>
    <n v="1686"/>
    <n v="50"/>
    <x v="199"/>
    <n v="332.11"/>
    <x v="7"/>
    <x v="0"/>
    <n v="1"/>
    <s v="2023-Sep"/>
    <n v="0"/>
    <n v="2023"/>
    <n v="9"/>
  </r>
  <r>
    <n v="1991"/>
    <n v="584"/>
    <x v="199"/>
    <n v="140.53"/>
    <x v="5"/>
    <x v="6"/>
    <n v="1"/>
    <s v="2023-Sep"/>
    <n v="0"/>
    <n v="2023"/>
    <n v="9"/>
  </r>
  <r>
    <n v="1733"/>
    <n v="666"/>
    <x v="199"/>
    <n v="437.76"/>
    <x v="5"/>
    <x v="1"/>
    <n v="2"/>
    <s v="2023-Sep"/>
    <n v="0"/>
    <n v="2023"/>
    <n v="9"/>
  </r>
  <r>
    <n v="1854"/>
    <n v="289"/>
    <x v="200"/>
    <n v="60.59"/>
    <x v="0"/>
    <x v="1"/>
    <n v="1"/>
    <s v="2023-Sep"/>
    <n v="0"/>
    <n v="2023"/>
    <n v="9"/>
  </r>
  <r>
    <n v="1814"/>
    <n v="919"/>
    <x v="200"/>
    <n v="111.69"/>
    <x v="0"/>
    <x v="5"/>
    <n v="2"/>
    <s v="2023-Sep"/>
    <n v="0"/>
    <n v="2023"/>
    <n v="9"/>
  </r>
  <r>
    <n v="1885"/>
    <n v="942"/>
    <x v="201"/>
    <n v="13.91"/>
    <x v="6"/>
    <x v="0"/>
    <n v="2"/>
    <s v="2023-Sep"/>
    <n v="0"/>
    <n v="2023"/>
    <n v="9"/>
  </r>
  <r>
    <n v="1539"/>
    <n v="967"/>
    <x v="201"/>
    <n v="41.75"/>
    <x v="7"/>
    <x v="2"/>
    <n v="1"/>
    <s v="2023-Sep"/>
    <n v="0"/>
    <n v="2023"/>
    <n v="9"/>
  </r>
  <r>
    <n v="1921"/>
    <n v="730"/>
    <x v="202"/>
    <n v="33.35"/>
    <x v="5"/>
    <x v="3"/>
    <n v="2"/>
    <s v="2023-Sep"/>
    <n v="1"/>
    <n v="2023"/>
    <n v="9"/>
  </r>
  <r>
    <n v="1683"/>
    <n v="168"/>
    <x v="203"/>
    <n v="486.68"/>
    <x v="4"/>
    <x v="6"/>
    <n v="3"/>
    <s v="2023-Sep"/>
    <n v="1"/>
    <n v="2023"/>
    <n v="9"/>
  </r>
  <r>
    <n v="1895"/>
    <n v="692"/>
    <x v="203"/>
    <n v="401.68"/>
    <x v="0"/>
    <x v="6"/>
    <n v="3"/>
    <s v="2023-Sep"/>
    <n v="0"/>
    <n v="2023"/>
    <n v="9"/>
  </r>
  <r>
    <n v="1814"/>
    <n v="993"/>
    <x v="203"/>
    <n v="37.020000000000003"/>
    <x v="4"/>
    <x v="5"/>
    <n v="2"/>
    <s v="2023-Sep"/>
    <n v="0"/>
    <n v="2023"/>
    <n v="9"/>
  </r>
  <r>
    <n v="1032"/>
    <n v="160"/>
    <x v="204"/>
    <n v="56.14"/>
    <x v="7"/>
    <x v="6"/>
    <n v="2"/>
    <s v="2023-Oct"/>
    <n v="1"/>
    <n v="2023"/>
    <n v="10"/>
  </r>
  <r>
    <n v="1252"/>
    <n v="721"/>
    <x v="204"/>
    <n v="220.41"/>
    <x v="3"/>
    <x v="1"/>
    <n v="5"/>
    <s v="2023-Oct"/>
    <n v="1"/>
    <n v="2023"/>
    <n v="10"/>
  </r>
  <r>
    <n v="1696"/>
    <n v="646"/>
    <x v="205"/>
    <n v="380.54"/>
    <x v="6"/>
    <x v="1"/>
    <n v="1"/>
    <s v="2023-Oct"/>
    <n v="0"/>
    <n v="2023"/>
    <n v="10"/>
  </r>
  <r>
    <n v="1230"/>
    <n v="205"/>
    <x v="206"/>
    <n v="162.47"/>
    <x v="4"/>
    <x v="0"/>
    <n v="3"/>
    <s v="2023-Oct"/>
    <n v="0"/>
    <n v="2023"/>
    <n v="10"/>
  </r>
  <r>
    <n v="1853"/>
    <n v="555"/>
    <x v="207"/>
    <n v="449.96"/>
    <x v="0"/>
    <x v="3"/>
    <n v="2"/>
    <s v="2023-Oct"/>
    <n v="0"/>
    <n v="2023"/>
    <n v="10"/>
  </r>
  <r>
    <n v="1507"/>
    <n v="905"/>
    <x v="207"/>
    <n v="130.72"/>
    <x v="2"/>
    <x v="0"/>
    <n v="1"/>
    <s v="2023-Oct"/>
    <n v="0"/>
    <n v="2023"/>
    <n v="10"/>
  </r>
  <r>
    <n v="1320"/>
    <n v="540"/>
    <x v="208"/>
    <n v="256.75"/>
    <x v="7"/>
    <x v="1"/>
    <n v="1"/>
    <s v="2023-Oct"/>
    <n v="0"/>
    <n v="2023"/>
    <n v="10"/>
  </r>
  <r>
    <n v="1401"/>
    <n v="99"/>
    <x v="209"/>
    <n v="145.51"/>
    <x v="4"/>
    <x v="3"/>
    <n v="2"/>
    <s v="2023-Oct"/>
    <n v="0"/>
    <n v="2023"/>
    <n v="10"/>
  </r>
  <r>
    <n v="1799"/>
    <n v="552"/>
    <x v="209"/>
    <n v="215.03"/>
    <x v="5"/>
    <x v="6"/>
    <n v="1"/>
    <s v="2023-Oct"/>
    <n v="0"/>
    <n v="2023"/>
    <n v="10"/>
  </r>
  <r>
    <n v="1614"/>
    <n v="9"/>
    <x v="210"/>
    <n v="330.21"/>
    <x v="1"/>
    <x v="2"/>
    <n v="1"/>
    <s v="2023-Oct"/>
    <n v="0"/>
    <n v="2023"/>
    <n v="10"/>
  </r>
  <r>
    <n v="1742"/>
    <n v="197"/>
    <x v="210"/>
    <n v="302.3"/>
    <x v="6"/>
    <x v="4"/>
    <n v="1"/>
    <s v="2023-Oct"/>
    <n v="0"/>
    <n v="2023"/>
    <n v="10"/>
  </r>
  <r>
    <n v="1345"/>
    <n v="364"/>
    <x v="211"/>
    <n v="319.31"/>
    <x v="3"/>
    <x v="0"/>
    <n v="4"/>
    <s v="2023-Oct"/>
    <n v="0"/>
    <n v="2023"/>
    <n v="10"/>
  </r>
  <r>
    <n v="1469"/>
    <n v="435"/>
    <x v="212"/>
    <n v="241.73"/>
    <x v="5"/>
    <x v="1"/>
    <n v="1"/>
    <s v="2023-Oct"/>
    <n v="0"/>
    <n v="2023"/>
    <n v="10"/>
  </r>
  <r>
    <n v="1658"/>
    <n v="459"/>
    <x v="212"/>
    <n v="89.48"/>
    <x v="3"/>
    <x v="6"/>
    <n v="5"/>
    <s v="2023-Oct"/>
    <n v="1"/>
    <n v="2023"/>
    <n v="10"/>
  </r>
  <r>
    <n v="1038"/>
    <n v="523"/>
    <x v="212"/>
    <n v="250.25"/>
    <x v="5"/>
    <x v="1"/>
    <n v="3"/>
    <s v="2023-Oct"/>
    <n v="1"/>
    <n v="2023"/>
    <n v="10"/>
  </r>
  <r>
    <n v="1079"/>
    <n v="921"/>
    <x v="212"/>
    <n v="38.909999999999997"/>
    <x v="4"/>
    <x v="2"/>
    <n v="1"/>
    <s v="2023-Oct"/>
    <n v="0"/>
    <n v="2023"/>
    <n v="10"/>
  </r>
  <r>
    <n v="1525"/>
    <n v="936"/>
    <x v="212"/>
    <n v="117.23"/>
    <x v="2"/>
    <x v="1"/>
    <n v="1"/>
    <s v="2023-Oct"/>
    <n v="0"/>
    <n v="2023"/>
    <n v="10"/>
  </r>
  <r>
    <n v="1048"/>
    <n v="463"/>
    <x v="213"/>
    <n v="92.99"/>
    <x v="4"/>
    <x v="0"/>
    <n v="1"/>
    <s v="2023-Oct"/>
    <n v="0"/>
    <n v="2023"/>
    <n v="10"/>
  </r>
  <r>
    <n v="1102"/>
    <n v="580"/>
    <x v="214"/>
    <n v="191.12"/>
    <x v="3"/>
    <x v="3"/>
    <n v="2"/>
    <s v="2023-Oct"/>
    <n v="1"/>
    <n v="2023"/>
    <n v="10"/>
  </r>
  <r>
    <n v="1287"/>
    <n v="506"/>
    <x v="215"/>
    <n v="327.60000000000002"/>
    <x v="1"/>
    <x v="2"/>
    <n v="1"/>
    <s v="2023-Oct"/>
    <n v="0"/>
    <n v="2023"/>
    <n v="10"/>
  </r>
  <r>
    <n v="1836"/>
    <n v="672"/>
    <x v="215"/>
    <n v="31.14"/>
    <x v="4"/>
    <x v="2"/>
    <n v="2"/>
    <s v="2023-Oct"/>
    <n v="1"/>
    <n v="2023"/>
    <n v="10"/>
  </r>
  <r>
    <n v="1733"/>
    <n v="202"/>
    <x v="216"/>
    <n v="177.54"/>
    <x v="3"/>
    <x v="0"/>
    <n v="2"/>
    <s v="2023-Oct"/>
    <n v="1"/>
    <n v="2023"/>
    <n v="10"/>
  </r>
  <r>
    <n v="1659"/>
    <n v="330"/>
    <x v="216"/>
    <n v="12.83"/>
    <x v="5"/>
    <x v="2"/>
    <n v="2"/>
    <s v="2023-Oct"/>
    <n v="0"/>
    <n v="2023"/>
    <n v="10"/>
  </r>
  <r>
    <n v="1147"/>
    <n v="339"/>
    <x v="216"/>
    <n v="299.89999999999998"/>
    <x v="6"/>
    <x v="1"/>
    <n v="1"/>
    <s v="2023-Oct"/>
    <n v="0"/>
    <n v="2023"/>
    <n v="10"/>
  </r>
  <r>
    <n v="1907"/>
    <n v="614"/>
    <x v="216"/>
    <n v="209.64"/>
    <x v="0"/>
    <x v="0"/>
    <n v="2"/>
    <s v="2023-Oct"/>
    <n v="1"/>
    <n v="2023"/>
    <n v="10"/>
  </r>
  <r>
    <n v="1229"/>
    <n v="841"/>
    <x v="216"/>
    <n v="262.49"/>
    <x v="6"/>
    <x v="2"/>
    <n v="2"/>
    <s v="2023-Oct"/>
    <n v="1"/>
    <n v="2023"/>
    <n v="10"/>
  </r>
  <r>
    <n v="1996"/>
    <n v="290"/>
    <x v="217"/>
    <n v="6.28"/>
    <x v="6"/>
    <x v="3"/>
    <n v="2"/>
    <s v="2023-Oct"/>
    <n v="1"/>
    <n v="2023"/>
    <n v="10"/>
  </r>
  <r>
    <n v="1143"/>
    <n v="363"/>
    <x v="218"/>
    <n v="481.02"/>
    <x v="5"/>
    <x v="3"/>
    <n v="4"/>
    <s v="2023-Oct"/>
    <n v="1"/>
    <n v="2023"/>
    <n v="10"/>
  </r>
  <r>
    <n v="1635"/>
    <n v="595"/>
    <x v="218"/>
    <n v="319.86"/>
    <x v="7"/>
    <x v="2"/>
    <n v="1"/>
    <s v="2023-Oct"/>
    <n v="0"/>
    <n v="2023"/>
    <n v="10"/>
  </r>
  <r>
    <n v="1276"/>
    <n v="747"/>
    <x v="219"/>
    <n v="137.72999999999999"/>
    <x v="3"/>
    <x v="0"/>
    <n v="4"/>
    <s v="2023-Oct"/>
    <n v="1"/>
    <n v="2023"/>
    <n v="10"/>
  </r>
  <r>
    <n v="1246"/>
    <n v="303"/>
    <x v="220"/>
    <n v="367.32"/>
    <x v="1"/>
    <x v="4"/>
    <n v="2"/>
    <s v="2023-Oct"/>
    <n v="0"/>
    <n v="2023"/>
    <n v="10"/>
  </r>
  <r>
    <n v="1713"/>
    <n v="879"/>
    <x v="220"/>
    <n v="151.76"/>
    <x v="2"/>
    <x v="5"/>
    <n v="1"/>
    <s v="2023-Oct"/>
    <n v="0"/>
    <n v="2023"/>
    <n v="10"/>
  </r>
  <r>
    <n v="1112"/>
    <n v="284"/>
    <x v="221"/>
    <n v="215.14"/>
    <x v="7"/>
    <x v="1"/>
    <n v="3"/>
    <s v="2023-Oct"/>
    <n v="0"/>
    <n v="2023"/>
    <n v="10"/>
  </r>
  <r>
    <n v="1415"/>
    <n v="302"/>
    <x v="221"/>
    <n v="154.52000000000001"/>
    <x v="5"/>
    <x v="2"/>
    <n v="1"/>
    <s v="2023-Oct"/>
    <n v="0"/>
    <n v="2023"/>
    <n v="10"/>
  </r>
  <r>
    <n v="1421"/>
    <n v="394"/>
    <x v="221"/>
    <n v="176.43"/>
    <x v="3"/>
    <x v="3"/>
    <n v="2"/>
    <s v="2023-Oct"/>
    <n v="0"/>
    <n v="2023"/>
    <n v="10"/>
  </r>
  <r>
    <n v="1656"/>
    <n v="599"/>
    <x v="221"/>
    <n v="281.12"/>
    <x v="2"/>
    <x v="0"/>
    <n v="2"/>
    <s v="2023-Oct"/>
    <n v="1"/>
    <n v="2023"/>
    <n v="10"/>
  </r>
  <r>
    <n v="1884"/>
    <n v="628"/>
    <x v="221"/>
    <n v="441.32"/>
    <x v="7"/>
    <x v="0"/>
    <n v="2"/>
    <s v="2023-Oct"/>
    <n v="0"/>
    <n v="2023"/>
    <n v="10"/>
  </r>
  <r>
    <n v="1103"/>
    <n v="395"/>
    <x v="222"/>
    <n v="123.33"/>
    <x v="2"/>
    <x v="3"/>
    <n v="2"/>
    <s v="2023-Oct"/>
    <n v="1"/>
    <n v="2023"/>
    <n v="10"/>
  </r>
  <r>
    <n v="1224"/>
    <n v="238"/>
    <x v="223"/>
    <n v="273.47000000000003"/>
    <x v="3"/>
    <x v="3"/>
    <n v="3"/>
    <s v="2023-Oct"/>
    <n v="1"/>
    <n v="2023"/>
    <n v="10"/>
  </r>
  <r>
    <n v="1842"/>
    <n v="831"/>
    <x v="224"/>
    <n v="101.83"/>
    <x v="5"/>
    <x v="3"/>
    <n v="1"/>
    <s v="2023-Oct"/>
    <n v="0"/>
    <n v="2023"/>
    <n v="10"/>
  </r>
  <r>
    <n v="1452"/>
    <n v="373"/>
    <x v="225"/>
    <n v="240.07"/>
    <x v="6"/>
    <x v="0"/>
    <n v="3"/>
    <s v="2023-Oct"/>
    <n v="0"/>
    <n v="2023"/>
    <n v="10"/>
  </r>
  <r>
    <n v="1977"/>
    <n v="759"/>
    <x v="225"/>
    <n v="276.42"/>
    <x v="7"/>
    <x v="4"/>
    <n v="1"/>
    <s v="2023-Oct"/>
    <n v="0"/>
    <n v="2023"/>
    <n v="10"/>
  </r>
  <r>
    <n v="1831"/>
    <n v="56"/>
    <x v="226"/>
    <n v="86.18"/>
    <x v="0"/>
    <x v="2"/>
    <n v="1"/>
    <s v="2023-Oct"/>
    <n v="0"/>
    <n v="2023"/>
    <n v="10"/>
  </r>
  <r>
    <n v="1062"/>
    <n v="141"/>
    <x v="226"/>
    <n v="192.78"/>
    <x v="7"/>
    <x v="1"/>
    <n v="1"/>
    <s v="2023-Oct"/>
    <n v="0"/>
    <n v="2023"/>
    <n v="10"/>
  </r>
  <r>
    <n v="1407"/>
    <n v="955"/>
    <x v="226"/>
    <n v="315.98"/>
    <x v="0"/>
    <x v="2"/>
    <n v="2"/>
    <s v="2023-Oct"/>
    <n v="0"/>
    <n v="2023"/>
    <n v="10"/>
  </r>
  <r>
    <n v="1515"/>
    <n v="460"/>
    <x v="227"/>
    <n v="41.94"/>
    <x v="7"/>
    <x v="1"/>
    <n v="2"/>
    <s v="2023-Nov"/>
    <n v="0"/>
    <n v="2023"/>
    <n v="11"/>
  </r>
  <r>
    <n v="1957"/>
    <n v="49"/>
    <x v="228"/>
    <n v="244.78"/>
    <x v="6"/>
    <x v="2"/>
    <n v="6"/>
    <s v="2023-Nov"/>
    <n v="1"/>
    <n v="2023"/>
    <n v="11"/>
  </r>
  <r>
    <n v="1166"/>
    <n v="64"/>
    <x v="228"/>
    <n v="237.74"/>
    <x v="5"/>
    <x v="1"/>
    <n v="2"/>
    <s v="2023-Nov"/>
    <n v="0"/>
    <n v="2023"/>
    <n v="11"/>
  </r>
  <r>
    <n v="1828"/>
    <n v="918"/>
    <x v="228"/>
    <n v="433.86"/>
    <x v="3"/>
    <x v="1"/>
    <n v="3"/>
    <s v="2023-Nov"/>
    <n v="1"/>
    <n v="2023"/>
    <n v="11"/>
  </r>
  <r>
    <n v="1013"/>
    <n v="69"/>
    <x v="229"/>
    <n v="85.03"/>
    <x v="7"/>
    <x v="0"/>
    <n v="1"/>
    <s v="2023-Nov"/>
    <n v="0"/>
    <n v="2023"/>
    <n v="11"/>
  </r>
  <r>
    <n v="1337"/>
    <n v="408"/>
    <x v="230"/>
    <n v="272.17"/>
    <x v="5"/>
    <x v="2"/>
    <n v="3"/>
    <s v="2023-Nov"/>
    <n v="1"/>
    <n v="2023"/>
    <n v="11"/>
  </r>
  <r>
    <n v="1144"/>
    <n v="976"/>
    <x v="230"/>
    <n v="494.57"/>
    <x v="0"/>
    <x v="2"/>
    <n v="1"/>
    <s v="2023-Nov"/>
    <n v="0"/>
    <n v="2023"/>
    <n v="11"/>
  </r>
  <r>
    <n v="1345"/>
    <n v="606"/>
    <x v="231"/>
    <n v="365.33"/>
    <x v="5"/>
    <x v="4"/>
    <n v="4"/>
    <s v="2023-Nov"/>
    <n v="1"/>
    <n v="2023"/>
    <n v="11"/>
  </r>
  <r>
    <n v="1524"/>
    <n v="770"/>
    <x v="231"/>
    <n v="99.64"/>
    <x v="0"/>
    <x v="3"/>
    <n v="3"/>
    <s v="2023-Nov"/>
    <n v="0"/>
    <n v="2023"/>
    <n v="11"/>
  </r>
  <r>
    <n v="1284"/>
    <n v="715"/>
    <x v="232"/>
    <n v="32.79"/>
    <x v="6"/>
    <x v="0"/>
    <n v="2"/>
    <s v="2023-Nov"/>
    <n v="0"/>
    <n v="2023"/>
    <n v="11"/>
  </r>
  <r>
    <n v="1027"/>
    <n v="154"/>
    <x v="233"/>
    <n v="119.41"/>
    <x v="3"/>
    <x v="0"/>
    <n v="2"/>
    <s v="2023-Nov"/>
    <n v="1"/>
    <n v="2023"/>
    <n v="11"/>
  </r>
  <r>
    <n v="1392"/>
    <n v="613"/>
    <x v="233"/>
    <n v="174.48"/>
    <x v="3"/>
    <x v="2"/>
    <n v="4"/>
    <s v="2023-Nov"/>
    <n v="1"/>
    <n v="2023"/>
    <n v="11"/>
  </r>
  <r>
    <n v="1719"/>
    <n v="412"/>
    <x v="234"/>
    <n v="362.1"/>
    <x v="2"/>
    <x v="4"/>
    <n v="2"/>
    <s v="2023-Nov"/>
    <n v="1"/>
    <n v="2023"/>
    <n v="11"/>
  </r>
  <r>
    <n v="1982"/>
    <n v="491"/>
    <x v="234"/>
    <n v="165.13"/>
    <x v="5"/>
    <x v="5"/>
    <n v="1"/>
    <s v="2023-Nov"/>
    <n v="0"/>
    <n v="2023"/>
    <n v="11"/>
  </r>
  <r>
    <n v="1095"/>
    <n v="200"/>
    <x v="235"/>
    <n v="335.15"/>
    <x v="1"/>
    <x v="5"/>
    <n v="3"/>
    <s v="2023-Nov"/>
    <n v="1"/>
    <n v="2023"/>
    <n v="11"/>
  </r>
  <r>
    <n v="1132"/>
    <n v="826"/>
    <x v="236"/>
    <n v="189.11"/>
    <x v="2"/>
    <x v="4"/>
    <n v="1"/>
    <s v="2023-Nov"/>
    <n v="0"/>
    <n v="2023"/>
    <n v="11"/>
  </r>
  <r>
    <n v="1806"/>
    <n v="275"/>
    <x v="237"/>
    <n v="263.63"/>
    <x v="6"/>
    <x v="0"/>
    <n v="1"/>
    <s v="2023-Nov"/>
    <n v="0"/>
    <n v="2023"/>
    <n v="11"/>
  </r>
  <r>
    <n v="1452"/>
    <n v="456"/>
    <x v="237"/>
    <n v="311.64999999999998"/>
    <x v="6"/>
    <x v="1"/>
    <n v="3"/>
    <s v="2023-Nov"/>
    <n v="1"/>
    <n v="2023"/>
    <n v="11"/>
  </r>
  <r>
    <n v="1957"/>
    <n v="654"/>
    <x v="237"/>
    <n v="323.47000000000003"/>
    <x v="1"/>
    <x v="2"/>
    <n v="6"/>
    <s v="2023-Nov"/>
    <n v="1"/>
    <n v="2023"/>
    <n v="11"/>
  </r>
  <r>
    <n v="1089"/>
    <n v="727"/>
    <x v="237"/>
    <n v="455.15"/>
    <x v="0"/>
    <x v="5"/>
    <n v="2"/>
    <s v="2023-Nov"/>
    <n v="0"/>
    <n v="2023"/>
    <n v="11"/>
  </r>
  <r>
    <n v="1750"/>
    <n v="833"/>
    <x v="237"/>
    <n v="51.55"/>
    <x v="7"/>
    <x v="0"/>
    <n v="2"/>
    <s v="2023-Nov"/>
    <n v="0"/>
    <n v="2023"/>
    <n v="11"/>
  </r>
  <r>
    <n v="1691"/>
    <n v="267"/>
    <x v="238"/>
    <n v="465.15"/>
    <x v="7"/>
    <x v="1"/>
    <n v="2"/>
    <s v="2023-Nov"/>
    <n v="1"/>
    <n v="2023"/>
    <n v="11"/>
  </r>
  <r>
    <n v="1547"/>
    <n v="758"/>
    <x v="238"/>
    <n v="367.56"/>
    <x v="1"/>
    <x v="5"/>
    <n v="1"/>
    <s v="2023-Nov"/>
    <n v="0"/>
    <n v="2023"/>
    <n v="11"/>
  </r>
  <r>
    <n v="1240"/>
    <n v="198"/>
    <x v="239"/>
    <n v="470.73"/>
    <x v="7"/>
    <x v="6"/>
    <n v="1"/>
    <s v="2023-Nov"/>
    <n v="0"/>
    <n v="2023"/>
    <n v="11"/>
  </r>
  <r>
    <n v="1410"/>
    <n v="251"/>
    <x v="239"/>
    <n v="359.17"/>
    <x v="3"/>
    <x v="5"/>
    <n v="1"/>
    <s v="2023-Nov"/>
    <n v="0"/>
    <n v="2023"/>
    <n v="11"/>
  </r>
  <r>
    <n v="1001"/>
    <n v="285"/>
    <x v="239"/>
    <n v="48.08"/>
    <x v="7"/>
    <x v="5"/>
    <n v="3"/>
    <s v="2023-Nov"/>
    <n v="1"/>
    <n v="2023"/>
    <n v="11"/>
  </r>
  <r>
    <n v="1232"/>
    <n v="266"/>
    <x v="240"/>
    <n v="336.7"/>
    <x v="0"/>
    <x v="2"/>
    <n v="4"/>
    <s v="2023-Nov"/>
    <n v="1"/>
    <n v="2023"/>
    <n v="11"/>
  </r>
  <r>
    <n v="1645"/>
    <n v="223"/>
    <x v="241"/>
    <n v="167.55"/>
    <x v="3"/>
    <x v="5"/>
    <n v="1"/>
    <s v="2023-Nov"/>
    <n v="0"/>
    <n v="2023"/>
    <n v="11"/>
  </r>
  <r>
    <n v="1884"/>
    <n v="804"/>
    <x v="242"/>
    <n v="398.02"/>
    <x v="5"/>
    <x v="5"/>
    <n v="2"/>
    <s v="2023-Nov"/>
    <n v="1"/>
    <n v="2023"/>
    <n v="11"/>
  </r>
  <r>
    <n v="1953"/>
    <n v="837"/>
    <x v="242"/>
    <n v="159.61000000000001"/>
    <x v="5"/>
    <x v="4"/>
    <n v="1"/>
    <s v="2023-Nov"/>
    <n v="0"/>
    <n v="2023"/>
    <n v="11"/>
  </r>
  <r>
    <n v="1414"/>
    <n v="357"/>
    <x v="243"/>
    <n v="184.66"/>
    <x v="7"/>
    <x v="0"/>
    <n v="3"/>
    <s v="2023-Nov"/>
    <n v="1"/>
    <n v="2023"/>
    <n v="11"/>
  </r>
  <r>
    <n v="1053"/>
    <n v="385"/>
    <x v="243"/>
    <n v="433.02"/>
    <x v="7"/>
    <x v="6"/>
    <n v="2"/>
    <s v="2023-Nov"/>
    <n v="1"/>
    <n v="2023"/>
    <n v="11"/>
  </r>
  <r>
    <n v="1419"/>
    <n v="745"/>
    <x v="243"/>
    <n v="217.3"/>
    <x v="5"/>
    <x v="0"/>
    <n v="2"/>
    <s v="2023-Nov"/>
    <n v="0"/>
    <n v="2023"/>
    <n v="11"/>
  </r>
  <r>
    <n v="1928"/>
    <n v="909"/>
    <x v="243"/>
    <n v="160.88999999999999"/>
    <x v="5"/>
    <x v="3"/>
    <n v="5"/>
    <s v="2023-Nov"/>
    <n v="1"/>
    <n v="2023"/>
    <n v="11"/>
  </r>
  <r>
    <n v="1376"/>
    <n v="240"/>
    <x v="244"/>
    <n v="424.35"/>
    <x v="2"/>
    <x v="5"/>
    <n v="1"/>
    <s v="2023-Nov"/>
    <n v="0"/>
    <n v="2023"/>
    <n v="11"/>
  </r>
  <r>
    <n v="1455"/>
    <n v="893"/>
    <x v="244"/>
    <n v="48.15"/>
    <x v="4"/>
    <x v="3"/>
    <n v="3"/>
    <s v="2023-Nov"/>
    <n v="0"/>
    <n v="2023"/>
    <n v="11"/>
  </r>
  <r>
    <n v="1283"/>
    <n v="452"/>
    <x v="245"/>
    <n v="99.93"/>
    <x v="0"/>
    <x v="1"/>
    <n v="1"/>
    <s v="2023-Nov"/>
    <n v="0"/>
    <n v="2023"/>
    <n v="11"/>
  </r>
  <r>
    <n v="1255"/>
    <n v="493"/>
    <x v="246"/>
    <n v="316.5"/>
    <x v="7"/>
    <x v="1"/>
    <n v="2"/>
    <s v="2023-Nov"/>
    <n v="1"/>
    <n v="2023"/>
    <n v="11"/>
  </r>
  <r>
    <n v="1041"/>
    <n v="820"/>
    <x v="246"/>
    <n v="278.49"/>
    <x v="5"/>
    <x v="2"/>
    <n v="1"/>
    <s v="2023-Nov"/>
    <n v="0"/>
    <n v="2023"/>
    <n v="11"/>
  </r>
  <r>
    <n v="1829"/>
    <n v="269"/>
    <x v="247"/>
    <n v="292.56"/>
    <x v="4"/>
    <x v="0"/>
    <n v="2"/>
    <s v="2023-Nov"/>
    <n v="0"/>
    <n v="2023"/>
    <n v="11"/>
  </r>
  <r>
    <n v="1383"/>
    <n v="798"/>
    <x v="247"/>
    <n v="375.9"/>
    <x v="3"/>
    <x v="4"/>
    <n v="1"/>
    <s v="2023-Nov"/>
    <n v="0"/>
    <n v="2023"/>
    <n v="11"/>
  </r>
  <r>
    <n v="1775"/>
    <n v="82"/>
    <x v="248"/>
    <n v="480.59"/>
    <x v="1"/>
    <x v="5"/>
    <n v="4"/>
    <s v="2023-Nov"/>
    <n v="1"/>
    <n v="2023"/>
    <n v="11"/>
  </r>
  <r>
    <n v="1985"/>
    <n v="515"/>
    <x v="248"/>
    <n v="471.7"/>
    <x v="1"/>
    <x v="1"/>
    <n v="1"/>
    <s v="2023-Nov"/>
    <n v="0"/>
    <n v="2023"/>
    <n v="11"/>
  </r>
  <r>
    <n v="1068"/>
    <n v="650"/>
    <x v="248"/>
    <n v="237.81"/>
    <x v="2"/>
    <x v="1"/>
    <n v="2"/>
    <s v="2023-Nov"/>
    <n v="0"/>
    <n v="2023"/>
    <n v="11"/>
  </r>
  <r>
    <n v="1872"/>
    <n v="774"/>
    <x v="248"/>
    <n v="483.84"/>
    <x v="7"/>
    <x v="3"/>
    <n v="1"/>
    <s v="2023-Nov"/>
    <n v="0"/>
    <n v="2023"/>
    <n v="11"/>
  </r>
  <r>
    <n v="1947"/>
    <n v="809"/>
    <x v="249"/>
    <n v="380.42"/>
    <x v="7"/>
    <x v="5"/>
    <n v="1"/>
    <s v="2023-Nov"/>
    <n v="0"/>
    <n v="2023"/>
    <n v="11"/>
  </r>
  <r>
    <n v="1386"/>
    <n v="277"/>
    <x v="250"/>
    <n v="430.41"/>
    <x v="3"/>
    <x v="3"/>
    <n v="2"/>
    <s v="2023-Nov"/>
    <n v="1"/>
    <n v="2023"/>
    <n v="11"/>
  </r>
  <r>
    <n v="1387"/>
    <n v="66"/>
    <x v="251"/>
    <n v="436.56"/>
    <x v="1"/>
    <x v="6"/>
    <n v="2"/>
    <s v="2023-Dec"/>
    <n v="1"/>
    <n v="2023"/>
    <n v="12"/>
  </r>
  <r>
    <n v="1564"/>
    <n v="73"/>
    <x v="251"/>
    <n v="273.52999999999997"/>
    <x v="2"/>
    <x v="5"/>
    <n v="2"/>
    <s v="2023-Dec"/>
    <n v="1"/>
    <n v="2023"/>
    <n v="12"/>
  </r>
  <r>
    <n v="1761"/>
    <n v="678"/>
    <x v="251"/>
    <n v="320.06"/>
    <x v="6"/>
    <x v="3"/>
    <n v="2"/>
    <s v="2023-Dec"/>
    <n v="0"/>
    <n v="2023"/>
    <n v="12"/>
  </r>
  <r>
    <n v="1189"/>
    <n v="902"/>
    <x v="251"/>
    <n v="370.34"/>
    <x v="2"/>
    <x v="0"/>
    <n v="5"/>
    <s v="2023-Dec"/>
    <n v="1"/>
    <n v="2023"/>
    <n v="12"/>
  </r>
  <r>
    <n v="1167"/>
    <n v="845"/>
    <x v="252"/>
    <n v="308.67"/>
    <x v="1"/>
    <x v="0"/>
    <n v="2"/>
    <s v="2023-Dec"/>
    <n v="0"/>
    <n v="2023"/>
    <n v="12"/>
  </r>
  <r>
    <n v="1856"/>
    <n v="134"/>
    <x v="253"/>
    <n v="336.35"/>
    <x v="3"/>
    <x v="5"/>
    <n v="2"/>
    <s v="2023-Dec"/>
    <n v="0"/>
    <n v="2023"/>
    <n v="12"/>
  </r>
  <r>
    <n v="1911"/>
    <n v="657"/>
    <x v="254"/>
    <n v="73.22"/>
    <x v="1"/>
    <x v="1"/>
    <n v="1"/>
    <s v="2023-Dec"/>
    <n v="0"/>
    <n v="2023"/>
    <n v="12"/>
  </r>
  <r>
    <n v="1902"/>
    <n v="736"/>
    <x v="255"/>
    <n v="11.63"/>
    <x v="7"/>
    <x v="2"/>
    <n v="2"/>
    <s v="2023-Dec"/>
    <n v="1"/>
    <n v="2023"/>
    <n v="12"/>
  </r>
  <r>
    <n v="1026"/>
    <n v="447"/>
    <x v="256"/>
    <n v="13.76"/>
    <x v="6"/>
    <x v="1"/>
    <n v="1"/>
    <s v="2023-Dec"/>
    <n v="0"/>
    <n v="2023"/>
    <n v="12"/>
  </r>
  <r>
    <n v="1619"/>
    <n v="578"/>
    <x v="256"/>
    <n v="301.27"/>
    <x v="3"/>
    <x v="4"/>
    <n v="2"/>
    <s v="2023-Dec"/>
    <n v="1"/>
    <n v="2023"/>
    <n v="12"/>
  </r>
  <r>
    <n v="1456"/>
    <n v="752"/>
    <x v="257"/>
    <n v="283.19"/>
    <x v="2"/>
    <x v="5"/>
    <n v="1"/>
    <s v="2023-Dec"/>
    <n v="0"/>
    <n v="2023"/>
    <n v="12"/>
  </r>
  <r>
    <n v="1998"/>
    <n v="760"/>
    <x v="257"/>
    <n v="68.349999999999994"/>
    <x v="5"/>
    <x v="1"/>
    <n v="2"/>
    <s v="2023-Dec"/>
    <n v="1"/>
    <n v="2023"/>
    <n v="12"/>
  </r>
  <r>
    <n v="1250"/>
    <n v="1000"/>
    <x v="257"/>
    <n v="73.069999999999993"/>
    <x v="5"/>
    <x v="5"/>
    <n v="1"/>
    <s v="2023-Dec"/>
    <n v="0"/>
    <n v="2023"/>
    <n v="12"/>
  </r>
  <r>
    <n v="1164"/>
    <n v="854"/>
    <x v="258"/>
    <n v="411.09"/>
    <x v="7"/>
    <x v="2"/>
    <n v="1"/>
    <s v="2023-Dec"/>
    <n v="0"/>
    <n v="2023"/>
    <n v="12"/>
  </r>
  <r>
    <n v="1337"/>
    <n v="119"/>
    <x v="259"/>
    <n v="52.15"/>
    <x v="5"/>
    <x v="5"/>
    <n v="3"/>
    <s v="2023-Dec"/>
    <n v="1"/>
    <n v="2023"/>
    <n v="12"/>
  </r>
  <r>
    <n v="1651"/>
    <n v="372"/>
    <x v="259"/>
    <n v="490.71"/>
    <x v="3"/>
    <x v="4"/>
    <n v="1"/>
    <s v="2023-Dec"/>
    <n v="0"/>
    <n v="2023"/>
    <n v="12"/>
  </r>
  <r>
    <n v="1111"/>
    <n v="399"/>
    <x v="259"/>
    <n v="471.48"/>
    <x v="3"/>
    <x v="5"/>
    <n v="1"/>
    <s v="2023-Dec"/>
    <n v="0"/>
    <n v="2023"/>
    <n v="12"/>
  </r>
  <r>
    <n v="1895"/>
    <n v="424"/>
    <x v="260"/>
    <n v="242.28"/>
    <x v="3"/>
    <x v="2"/>
    <n v="3"/>
    <s v="2023-Dec"/>
    <n v="1"/>
    <n v="2023"/>
    <n v="12"/>
  </r>
  <r>
    <n v="1474"/>
    <n v="40"/>
    <x v="261"/>
    <n v="299.41000000000003"/>
    <x v="7"/>
    <x v="5"/>
    <n v="2"/>
    <s v="2023-Dec"/>
    <n v="1"/>
    <n v="2023"/>
    <n v="12"/>
  </r>
  <r>
    <n v="1219"/>
    <n v="287"/>
    <x v="262"/>
    <n v="189.89"/>
    <x v="0"/>
    <x v="2"/>
    <n v="4"/>
    <s v="2023-Dec"/>
    <n v="1"/>
    <n v="2023"/>
    <n v="12"/>
  </r>
  <r>
    <n v="1980"/>
    <n v="489"/>
    <x v="262"/>
    <n v="98.9"/>
    <x v="0"/>
    <x v="1"/>
    <n v="1"/>
    <s v="2023-Dec"/>
    <n v="0"/>
    <n v="2023"/>
    <n v="12"/>
  </r>
  <r>
    <n v="1267"/>
    <n v="707"/>
    <x v="262"/>
    <n v="489.93"/>
    <x v="2"/>
    <x v="5"/>
    <n v="2"/>
    <s v="2023-Dec"/>
    <n v="1"/>
    <n v="2023"/>
    <n v="12"/>
  </r>
  <r>
    <n v="1587"/>
    <n v="834"/>
    <x v="262"/>
    <n v="181.55"/>
    <x v="1"/>
    <x v="2"/>
    <n v="1"/>
    <s v="2023-Dec"/>
    <n v="0"/>
    <n v="2023"/>
    <n v="12"/>
  </r>
  <r>
    <n v="1908"/>
    <n v="984"/>
    <x v="262"/>
    <n v="288.81"/>
    <x v="7"/>
    <x v="6"/>
    <n v="1"/>
    <s v="2023-Dec"/>
    <n v="0"/>
    <n v="2023"/>
    <n v="12"/>
  </r>
  <r>
    <n v="1156"/>
    <n v="130"/>
    <x v="263"/>
    <n v="442.44"/>
    <x v="6"/>
    <x v="6"/>
    <n v="1"/>
    <s v="2023-Dec"/>
    <n v="0"/>
    <n v="2023"/>
    <n v="12"/>
  </r>
  <r>
    <n v="1035"/>
    <n v="210"/>
    <x v="263"/>
    <n v="147.9"/>
    <x v="5"/>
    <x v="5"/>
    <n v="2"/>
    <s v="2023-Dec"/>
    <n v="0"/>
    <n v="2023"/>
    <n v="12"/>
  </r>
  <r>
    <n v="1159"/>
    <n v="212"/>
    <x v="263"/>
    <n v="327"/>
    <x v="7"/>
    <x v="2"/>
    <n v="3"/>
    <s v="2023-Dec"/>
    <n v="0"/>
    <n v="2023"/>
    <n v="12"/>
  </r>
  <r>
    <n v="1945"/>
    <n v="848"/>
    <x v="264"/>
    <n v="88.58"/>
    <x v="1"/>
    <x v="3"/>
    <n v="2"/>
    <s v="2023-Dec"/>
    <n v="1"/>
    <n v="2023"/>
    <n v="12"/>
  </r>
  <r>
    <n v="1151"/>
    <n v="384"/>
    <x v="265"/>
    <n v="395.01"/>
    <x v="3"/>
    <x v="1"/>
    <n v="1"/>
    <s v="2023-Dec"/>
    <n v="0"/>
    <n v="2023"/>
    <n v="12"/>
  </r>
  <r>
    <n v="1681"/>
    <n v="568"/>
    <x v="265"/>
    <n v="66.989999999999995"/>
    <x v="7"/>
    <x v="0"/>
    <n v="4"/>
    <s v="2023-Dec"/>
    <n v="1"/>
    <n v="2023"/>
    <n v="12"/>
  </r>
  <r>
    <n v="1647"/>
    <n v="857"/>
    <x v="265"/>
    <n v="484.04"/>
    <x v="1"/>
    <x v="6"/>
    <n v="3"/>
    <s v="2023-Dec"/>
    <n v="1"/>
    <n v="2023"/>
    <n v="12"/>
  </r>
  <r>
    <n v="1875"/>
    <n v="875"/>
    <x v="265"/>
    <n v="108.83"/>
    <x v="0"/>
    <x v="6"/>
    <n v="2"/>
    <s v="2023-Dec"/>
    <n v="0"/>
    <n v="2023"/>
    <n v="12"/>
  </r>
  <r>
    <n v="1850"/>
    <n v="800"/>
    <x v="266"/>
    <n v="394.55"/>
    <x v="0"/>
    <x v="1"/>
    <n v="1"/>
    <s v="2023-Dec"/>
    <n v="0"/>
    <n v="2023"/>
    <n v="12"/>
  </r>
  <r>
    <n v="1726"/>
    <n v="553"/>
    <x v="267"/>
    <n v="45.9"/>
    <x v="5"/>
    <x v="5"/>
    <n v="3"/>
    <s v="2023-Dec"/>
    <n v="1"/>
    <n v="2023"/>
    <n v="12"/>
  </r>
  <r>
    <n v="1616"/>
    <n v="735"/>
    <x v="267"/>
    <n v="238.67"/>
    <x v="5"/>
    <x v="4"/>
    <n v="1"/>
    <s v="2023-Dec"/>
    <n v="0"/>
    <n v="2023"/>
    <n v="12"/>
  </r>
  <r>
    <n v="1476"/>
    <n v="97"/>
    <x v="268"/>
    <n v="329.23"/>
    <x v="3"/>
    <x v="1"/>
    <n v="3"/>
    <s v="2023-Dec"/>
    <n v="0"/>
    <n v="2023"/>
    <n v="12"/>
  </r>
  <r>
    <n v="1797"/>
    <n v="450"/>
    <x v="268"/>
    <n v="196.3"/>
    <x v="2"/>
    <x v="2"/>
    <n v="4"/>
    <s v="2023-Dec"/>
    <n v="1"/>
    <n v="2023"/>
    <n v="12"/>
  </r>
  <r>
    <n v="1753"/>
    <n v="887"/>
    <x v="268"/>
    <n v="130.88999999999999"/>
    <x v="4"/>
    <x v="5"/>
    <n v="2"/>
    <s v="2023-Dec"/>
    <n v="0"/>
    <n v="2023"/>
    <n v="12"/>
  </r>
  <r>
    <n v="1562"/>
    <n v="443"/>
    <x v="269"/>
    <n v="438.67"/>
    <x v="1"/>
    <x v="3"/>
    <n v="2"/>
    <s v="2023-Dec"/>
    <n v="1"/>
    <n v="2023"/>
    <n v="12"/>
  </r>
  <r>
    <n v="1779"/>
    <n v="158"/>
    <x v="270"/>
    <n v="94.11"/>
    <x v="2"/>
    <x v="0"/>
    <n v="2"/>
    <s v="2023-Dec"/>
    <n v="0"/>
    <n v="2023"/>
    <n v="12"/>
  </r>
  <r>
    <n v="1036"/>
    <n v="374"/>
    <x v="270"/>
    <n v="194.35"/>
    <x v="7"/>
    <x v="0"/>
    <n v="3"/>
    <s v="2023-Dec"/>
    <n v="0"/>
    <n v="2023"/>
    <n v="12"/>
  </r>
  <r>
    <n v="1268"/>
    <n v="593"/>
    <x v="270"/>
    <n v="132.91999999999999"/>
    <x v="6"/>
    <x v="6"/>
    <n v="1"/>
    <s v="2023-Dec"/>
    <n v="0"/>
    <n v="2023"/>
    <n v="12"/>
  </r>
  <r>
    <n v="1516"/>
    <n v="852"/>
    <x v="270"/>
    <n v="185.03"/>
    <x v="6"/>
    <x v="3"/>
    <n v="1"/>
    <s v="2023-Dec"/>
    <n v="0"/>
    <n v="2023"/>
    <n v="12"/>
  </r>
  <r>
    <n v="1069"/>
    <n v="870"/>
    <x v="270"/>
    <n v="69.260000000000005"/>
    <x v="1"/>
    <x v="3"/>
    <n v="1"/>
    <s v="2023-Dec"/>
    <n v="0"/>
    <n v="2023"/>
    <n v="12"/>
  </r>
  <r>
    <n v="1019"/>
    <n v="539"/>
    <x v="271"/>
    <n v="22.61"/>
    <x v="6"/>
    <x v="2"/>
    <n v="1"/>
    <s v="2023-Dec"/>
    <n v="0"/>
    <n v="2023"/>
    <n v="12"/>
  </r>
  <r>
    <n v="1928"/>
    <n v="702"/>
    <x v="271"/>
    <n v="374.87"/>
    <x v="5"/>
    <x v="4"/>
    <n v="5"/>
    <s v="2023-Dec"/>
    <n v="1"/>
    <n v="2023"/>
    <n v="12"/>
  </r>
  <r>
    <n v="1772"/>
    <n v="150"/>
    <x v="272"/>
    <n v="272.25"/>
    <x v="4"/>
    <x v="6"/>
    <n v="1"/>
    <s v="2023-Dec"/>
    <n v="0"/>
    <n v="2023"/>
    <n v="12"/>
  </r>
  <r>
    <n v="1095"/>
    <n v="621"/>
    <x v="272"/>
    <n v="290.7"/>
    <x v="1"/>
    <x v="0"/>
    <n v="3"/>
    <s v="2023-Dec"/>
    <n v="1"/>
    <n v="2023"/>
    <n v="12"/>
  </r>
  <r>
    <n v="1659"/>
    <n v="891"/>
    <x v="272"/>
    <n v="125.95"/>
    <x v="5"/>
    <x v="3"/>
    <n v="2"/>
    <s v="2023-Dec"/>
    <n v="1"/>
    <n v="2023"/>
    <n v="12"/>
  </r>
  <r>
    <n v="1866"/>
    <n v="773"/>
    <x v="273"/>
    <n v="473.78"/>
    <x v="0"/>
    <x v="5"/>
    <n v="3"/>
    <s v="2024-Jan"/>
    <n v="0"/>
    <n v="2024"/>
    <n v="1"/>
  </r>
  <r>
    <n v="1857"/>
    <n v="190"/>
    <x v="274"/>
    <n v="125.85"/>
    <x v="6"/>
    <x v="2"/>
    <n v="2"/>
    <s v="2024-Jan"/>
    <n v="1"/>
    <n v="2024"/>
    <n v="1"/>
  </r>
  <r>
    <n v="1913"/>
    <n v="405"/>
    <x v="275"/>
    <n v="198.57"/>
    <x v="0"/>
    <x v="2"/>
    <n v="1"/>
    <s v="2024-Jan"/>
    <n v="0"/>
    <n v="2024"/>
    <n v="1"/>
  </r>
  <r>
    <n v="1476"/>
    <n v="469"/>
    <x v="275"/>
    <n v="114.3"/>
    <x v="3"/>
    <x v="4"/>
    <n v="3"/>
    <s v="2024-Jan"/>
    <n v="1"/>
    <n v="2024"/>
    <n v="1"/>
  </r>
  <r>
    <n v="1105"/>
    <n v="596"/>
    <x v="275"/>
    <n v="114.43"/>
    <x v="4"/>
    <x v="1"/>
    <n v="2"/>
    <s v="2024-Jan"/>
    <n v="1"/>
    <n v="2024"/>
    <n v="1"/>
  </r>
  <r>
    <n v="1335"/>
    <n v="687"/>
    <x v="276"/>
    <n v="65.58"/>
    <x v="7"/>
    <x v="6"/>
    <n v="1"/>
    <s v="2024-Jan"/>
    <n v="0"/>
    <n v="2024"/>
    <n v="1"/>
  </r>
  <r>
    <n v="1860"/>
    <n v="3"/>
    <x v="277"/>
    <n v="79.040000000000006"/>
    <x v="2"/>
    <x v="3"/>
    <n v="3"/>
    <s v="2024-Jan"/>
    <n v="1"/>
    <n v="2024"/>
    <n v="1"/>
  </r>
  <r>
    <n v="1771"/>
    <n v="95"/>
    <x v="277"/>
    <n v="300.87"/>
    <x v="5"/>
    <x v="1"/>
    <n v="1"/>
    <s v="2024-Jan"/>
    <n v="0"/>
    <n v="2024"/>
    <n v="1"/>
  </r>
  <r>
    <n v="1340"/>
    <n v="661"/>
    <x v="277"/>
    <n v="19.39"/>
    <x v="4"/>
    <x v="3"/>
    <n v="1"/>
    <s v="2024-Jan"/>
    <n v="0"/>
    <n v="2024"/>
    <n v="1"/>
  </r>
  <r>
    <n v="1112"/>
    <n v="278"/>
    <x v="278"/>
    <n v="400.89"/>
    <x v="3"/>
    <x v="5"/>
    <n v="3"/>
    <s v="2024-Jan"/>
    <n v="1"/>
    <n v="2024"/>
    <n v="1"/>
  </r>
  <r>
    <n v="1412"/>
    <n v="743"/>
    <x v="278"/>
    <n v="487.54"/>
    <x v="4"/>
    <x v="5"/>
    <n v="1"/>
    <s v="2024-Jan"/>
    <n v="0"/>
    <n v="2024"/>
    <n v="1"/>
  </r>
  <r>
    <n v="1899"/>
    <n v="201"/>
    <x v="279"/>
    <n v="290.70999999999998"/>
    <x v="2"/>
    <x v="1"/>
    <n v="1"/>
    <s v="2024-Jan"/>
    <n v="0"/>
    <n v="2024"/>
    <n v="1"/>
  </r>
  <r>
    <n v="1417"/>
    <n v="733"/>
    <x v="279"/>
    <n v="202.42"/>
    <x v="4"/>
    <x v="5"/>
    <n v="1"/>
    <s v="2024-Jan"/>
    <n v="0"/>
    <n v="2024"/>
    <n v="1"/>
  </r>
  <r>
    <n v="1586"/>
    <n v="390"/>
    <x v="280"/>
    <n v="63.24"/>
    <x v="3"/>
    <x v="5"/>
    <n v="1"/>
    <s v="2024-Jan"/>
    <n v="0"/>
    <n v="2024"/>
    <n v="1"/>
  </r>
  <r>
    <n v="1992"/>
    <n v="574"/>
    <x v="280"/>
    <n v="310.17"/>
    <x v="1"/>
    <x v="3"/>
    <n v="2"/>
    <s v="2024-Jan"/>
    <n v="1"/>
    <n v="2024"/>
    <n v="1"/>
  </r>
  <r>
    <n v="1252"/>
    <n v="987"/>
    <x v="280"/>
    <n v="114.01"/>
    <x v="1"/>
    <x v="3"/>
    <n v="5"/>
    <s v="2024-Jan"/>
    <n v="1"/>
    <n v="2024"/>
    <n v="1"/>
  </r>
  <r>
    <n v="1384"/>
    <n v="293"/>
    <x v="281"/>
    <n v="298.8"/>
    <x v="0"/>
    <x v="4"/>
    <n v="2"/>
    <s v="2024-Jan"/>
    <n v="0"/>
    <n v="2024"/>
    <n v="1"/>
  </r>
  <r>
    <n v="1098"/>
    <n v="483"/>
    <x v="282"/>
    <n v="128.05000000000001"/>
    <x v="4"/>
    <x v="6"/>
    <n v="7"/>
    <s v="2024-Jan"/>
    <n v="1"/>
    <n v="2024"/>
    <n v="1"/>
  </r>
  <r>
    <n v="1688"/>
    <n v="756"/>
    <x v="282"/>
    <n v="47.78"/>
    <x v="4"/>
    <x v="0"/>
    <n v="1"/>
    <s v="2024-Jan"/>
    <n v="0"/>
    <n v="2024"/>
    <n v="1"/>
  </r>
  <r>
    <n v="1245"/>
    <n v="521"/>
    <x v="283"/>
    <n v="391.68"/>
    <x v="0"/>
    <x v="5"/>
    <n v="1"/>
    <s v="2024-Jan"/>
    <n v="0"/>
    <n v="2024"/>
    <n v="1"/>
  </r>
  <r>
    <n v="1202"/>
    <n v="924"/>
    <x v="283"/>
    <n v="380.83"/>
    <x v="0"/>
    <x v="5"/>
    <n v="2"/>
    <s v="2024-Jan"/>
    <n v="0"/>
    <n v="2024"/>
    <n v="1"/>
  </r>
  <r>
    <n v="1783"/>
    <n v="951"/>
    <x v="284"/>
    <n v="420.53"/>
    <x v="2"/>
    <x v="1"/>
    <n v="1"/>
    <s v="2024-Jan"/>
    <n v="0"/>
    <n v="2024"/>
    <n v="1"/>
  </r>
  <r>
    <n v="1871"/>
    <n v="18"/>
    <x v="285"/>
    <n v="14.09"/>
    <x v="2"/>
    <x v="1"/>
    <n v="5"/>
    <s v="2024-Jan"/>
    <n v="1"/>
    <n v="2024"/>
    <n v="1"/>
  </r>
  <r>
    <n v="1378"/>
    <n v="149"/>
    <x v="286"/>
    <n v="281.27999999999997"/>
    <x v="7"/>
    <x v="3"/>
    <n v="1"/>
    <s v="2024-Jan"/>
    <n v="0"/>
    <n v="2024"/>
    <n v="1"/>
  </r>
  <r>
    <n v="1276"/>
    <n v="420"/>
    <x v="286"/>
    <n v="478.87"/>
    <x v="0"/>
    <x v="5"/>
    <n v="4"/>
    <s v="2024-Jan"/>
    <n v="1"/>
    <n v="2024"/>
    <n v="1"/>
  </r>
  <r>
    <n v="1866"/>
    <n v="528"/>
    <x v="286"/>
    <n v="228.06"/>
    <x v="0"/>
    <x v="0"/>
    <n v="3"/>
    <s v="2024-Jan"/>
    <n v="0"/>
    <n v="2024"/>
    <n v="1"/>
  </r>
  <r>
    <n v="1241"/>
    <n v="999"/>
    <x v="286"/>
    <n v="234.89"/>
    <x v="6"/>
    <x v="2"/>
    <n v="2"/>
    <s v="2024-Jan"/>
    <n v="1"/>
    <n v="2024"/>
    <n v="1"/>
  </r>
  <r>
    <n v="1121"/>
    <n v="959"/>
    <x v="287"/>
    <n v="113.13"/>
    <x v="7"/>
    <x v="2"/>
    <n v="2"/>
    <s v="2024-Jan"/>
    <n v="1"/>
    <n v="2024"/>
    <n v="1"/>
  </r>
  <r>
    <n v="1924"/>
    <n v="983"/>
    <x v="287"/>
    <n v="395.63"/>
    <x v="7"/>
    <x v="0"/>
    <n v="1"/>
    <s v="2024-Jan"/>
    <n v="0"/>
    <n v="2024"/>
    <n v="1"/>
  </r>
  <r>
    <n v="1875"/>
    <n v="53"/>
    <x v="288"/>
    <n v="393"/>
    <x v="5"/>
    <x v="1"/>
    <n v="2"/>
    <s v="2024-Jan"/>
    <n v="1"/>
    <n v="2024"/>
    <n v="1"/>
  </r>
  <r>
    <n v="1195"/>
    <n v="737"/>
    <x v="288"/>
    <n v="144.96"/>
    <x v="2"/>
    <x v="5"/>
    <n v="2"/>
    <s v="2024-Jan"/>
    <n v="0"/>
    <n v="2024"/>
    <n v="1"/>
  </r>
  <r>
    <n v="1608"/>
    <n v="322"/>
    <x v="289"/>
    <n v="33.94"/>
    <x v="3"/>
    <x v="2"/>
    <n v="2"/>
    <s v="2024-Jan"/>
    <n v="0"/>
    <n v="2024"/>
    <n v="1"/>
  </r>
  <r>
    <n v="1252"/>
    <n v="488"/>
    <x v="289"/>
    <n v="342.08"/>
    <x v="7"/>
    <x v="6"/>
    <n v="5"/>
    <s v="2024-Jan"/>
    <n v="1"/>
    <n v="2024"/>
    <n v="1"/>
  </r>
  <r>
    <n v="1905"/>
    <n v="677"/>
    <x v="289"/>
    <n v="164.44"/>
    <x v="0"/>
    <x v="0"/>
    <n v="1"/>
    <s v="2024-Jan"/>
    <n v="0"/>
    <n v="2024"/>
    <n v="1"/>
  </r>
  <r>
    <n v="1347"/>
    <n v="234"/>
    <x v="290"/>
    <n v="88.38"/>
    <x v="2"/>
    <x v="0"/>
    <n v="3"/>
    <s v="2024-Jan"/>
    <n v="0"/>
    <n v="2024"/>
    <n v="1"/>
  </r>
  <r>
    <n v="1768"/>
    <n v="179"/>
    <x v="291"/>
    <n v="85.38"/>
    <x v="3"/>
    <x v="5"/>
    <n v="2"/>
    <s v="2024-Jan"/>
    <n v="0"/>
    <n v="2024"/>
    <n v="1"/>
  </r>
  <r>
    <n v="1131"/>
    <n v="868"/>
    <x v="291"/>
    <n v="489.99"/>
    <x v="2"/>
    <x v="4"/>
    <n v="1"/>
    <s v="2024-Jan"/>
    <n v="0"/>
    <n v="2024"/>
    <n v="1"/>
  </r>
  <r>
    <n v="1568"/>
    <n v="816"/>
    <x v="292"/>
    <n v="473.59"/>
    <x v="2"/>
    <x v="3"/>
    <n v="1"/>
    <s v="2024-Jan"/>
    <n v="0"/>
    <n v="2024"/>
    <n v="1"/>
  </r>
  <r>
    <n v="1159"/>
    <n v="375"/>
    <x v="293"/>
    <n v="64.319999999999993"/>
    <x v="5"/>
    <x v="6"/>
    <n v="3"/>
    <s v="2024-Jan"/>
    <n v="1"/>
    <n v="2024"/>
    <n v="1"/>
  </r>
  <r>
    <n v="1407"/>
    <n v="531"/>
    <x v="293"/>
    <n v="494.2"/>
    <x v="1"/>
    <x v="0"/>
    <n v="2"/>
    <s v="2024-Jan"/>
    <n v="1"/>
    <n v="2024"/>
    <n v="1"/>
  </r>
  <r>
    <n v="1834"/>
    <n v="708"/>
    <x v="294"/>
    <n v="86.82"/>
    <x v="3"/>
    <x v="0"/>
    <n v="1"/>
    <s v="2024-Feb"/>
    <n v="0"/>
    <n v="2024"/>
    <n v="2"/>
  </r>
  <r>
    <n v="1512"/>
    <n v="939"/>
    <x v="294"/>
    <n v="209.32"/>
    <x v="2"/>
    <x v="3"/>
    <n v="2"/>
    <s v="2024-Feb"/>
    <n v="1"/>
    <n v="2024"/>
    <n v="2"/>
  </r>
  <r>
    <n v="1868"/>
    <n v="751"/>
    <x v="295"/>
    <n v="311.75"/>
    <x v="0"/>
    <x v="3"/>
    <n v="2"/>
    <s v="2024-Feb"/>
    <n v="1"/>
    <n v="2024"/>
    <n v="2"/>
  </r>
  <r>
    <n v="1566"/>
    <n v="54"/>
    <x v="296"/>
    <n v="243.05"/>
    <x v="7"/>
    <x v="3"/>
    <n v="1"/>
    <s v="2024-Feb"/>
    <n v="0"/>
    <n v="2024"/>
    <n v="2"/>
  </r>
  <r>
    <n v="1508"/>
    <n v="81"/>
    <x v="296"/>
    <n v="91.23"/>
    <x v="0"/>
    <x v="4"/>
    <n v="1"/>
    <s v="2024-Feb"/>
    <n v="0"/>
    <n v="2024"/>
    <n v="2"/>
  </r>
  <r>
    <n v="1046"/>
    <n v="587"/>
    <x v="296"/>
    <n v="250.54"/>
    <x v="5"/>
    <x v="5"/>
    <n v="3"/>
    <s v="2024-Feb"/>
    <n v="0"/>
    <n v="2024"/>
    <n v="2"/>
  </r>
  <r>
    <n v="1801"/>
    <n v="674"/>
    <x v="296"/>
    <n v="301.69"/>
    <x v="1"/>
    <x v="4"/>
    <n v="2"/>
    <s v="2024-Feb"/>
    <n v="0"/>
    <n v="2024"/>
    <n v="2"/>
  </r>
  <r>
    <n v="1057"/>
    <n v="913"/>
    <x v="296"/>
    <n v="329.36"/>
    <x v="2"/>
    <x v="0"/>
    <n v="4"/>
    <s v="2024-Feb"/>
    <n v="1"/>
    <n v="2024"/>
    <n v="2"/>
  </r>
  <r>
    <n v="1709"/>
    <n v="301"/>
    <x v="297"/>
    <n v="131.54"/>
    <x v="6"/>
    <x v="3"/>
    <n v="2"/>
    <s v="2024-Feb"/>
    <n v="1"/>
    <n v="2024"/>
    <n v="2"/>
  </r>
  <r>
    <n v="1758"/>
    <n v="688"/>
    <x v="297"/>
    <n v="369.08"/>
    <x v="6"/>
    <x v="2"/>
    <n v="2"/>
    <s v="2024-Feb"/>
    <n v="0"/>
    <n v="2024"/>
    <n v="2"/>
  </r>
  <r>
    <n v="1815"/>
    <n v="108"/>
    <x v="298"/>
    <n v="318.11"/>
    <x v="5"/>
    <x v="2"/>
    <n v="4"/>
    <s v="2024-Feb"/>
    <n v="1"/>
    <n v="2024"/>
    <n v="2"/>
  </r>
  <r>
    <n v="1663"/>
    <n v="19"/>
    <x v="299"/>
    <n v="243.77"/>
    <x v="2"/>
    <x v="1"/>
    <n v="4"/>
    <s v="2024-Feb"/>
    <n v="1"/>
    <n v="2024"/>
    <n v="2"/>
  </r>
  <r>
    <n v="1701"/>
    <n v="114"/>
    <x v="299"/>
    <n v="53.21"/>
    <x v="2"/>
    <x v="2"/>
    <n v="1"/>
    <s v="2024-Feb"/>
    <n v="0"/>
    <n v="2024"/>
    <n v="2"/>
  </r>
  <r>
    <n v="1226"/>
    <n v="398"/>
    <x v="299"/>
    <n v="143.44999999999999"/>
    <x v="7"/>
    <x v="3"/>
    <n v="2"/>
    <s v="2024-Feb"/>
    <n v="1"/>
    <n v="2024"/>
    <n v="2"/>
  </r>
  <r>
    <n v="1790"/>
    <n v="611"/>
    <x v="300"/>
    <n v="246.76"/>
    <x v="6"/>
    <x v="2"/>
    <n v="1"/>
    <s v="2024-Feb"/>
    <n v="0"/>
    <n v="2024"/>
    <n v="2"/>
  </r>
  <r>
    <n v="1851"/>
    <n v="396"/>
    <x v="301"/>
    <n v="257.31"/>
    <x v="3"/>
    <x v="2"/>
    <n v="2"/>
    <s v="2024-Feb"/>
    <n v="1"/>
    <n v="2024"/>
    <n v="2"/>
  </r>
  <r>
    <n v="1282"/>
    <n v="241"/>
    <x v="302"/>
    <n v="457.55"/>
    <x v="2"/>
    <x v="0"/>
    <n v="2"/>
    <s v="2024-Feb"/>
    <n v="0"/>
    <n v="2024"/>
    <n v="2"/>
  </r>
  <r>
    <n v="1637"/>
    <n v="295"/>
    <x v="302"/>
    <n v="325.07"/>
    <x v="1"/>
    <x v="0"/>
    <n v="3"/>
    <s v="2024-Feb"/>
    <n v="0"/>
    <n v="2024"/>
    <n v="2"/>
  </r>
  <r>
    <n v="1146"/>
    <n v="338"/>
    <x v="303"/>
    <n v="324.42"/>
    <x v="2"/>
    <x v="2"/>
    <n v="1"/>
    <s v="2024-Feb"/>
    <n v="0"/>
    <n v="2024"/>
    <n v="2"/>
  </r>
  <r>
    <n v="1610"/>
    <n v="360"/>
    <x v="303"/>
    <n v="170.12"/>
    <x v="6"/>
    <x v="2"/>
    <n v="1"/>
    <s v="2024-Feb"/>
    <n v="0"/>
    <n v="2024"/>
    <n v="2"/>
  </r>
  <r>
    <n v="1972"/>
    <n v="900"/>
    <x v="304"/>
    <n v="220.58"/>
    <x v="6"/>
    <x v="2"/>
    <n v="2"/>
    <s v="2024-Feb"/>
    <n v="1"/>
    <n v="2024"/>
    <n v="2"/>
  </r>
  <r>
    <n v="1606"/>
    <n v="718"/>
    <x v="305"/>
    <n v="191.57"/>
    <x v="2"/>
    <x v="4"/>
    <n v="2"/>
    <s v="2024-Feb"/>
    <n v="1"/>
    <n v="2024"/>
    <n v="2"/>
  </r>
  <r>
    <n v="1894"/>
    <n v="895"/>
    <x v="305"/>
    <n v="212.96"/>
    <x v="0"/>
    <x v="5"/>
    <n v="1"/>
    <s v="2024-Feb"/>
    <n v="0"/>
    <n v="2024"/>
    <n v="2"/>
  </r>
  <r>
    <n v="1498"/>
    <n v="722"/>
    <x v="306"/>
    <n v="468.99"/>
    <x v="5"/>
    <x v="6"/>
    <n v="2"/>
    <s v="2024-Feb"/>
    <n v="1"/>
    <n v="2024"/>
    <n v="2"/>
  </r>
  <r>
    <n v="1503"/>
    <n v="423"/>
    <x v="307"/>
    <n v="289.70999999999998"/>
    <x v="6"/>
    <x v="4"/>
    <n v="1"/>
    <s v="2024-Feb"/>
    <n v="0"/>
    <n v="2024"/>
    <n v="2"/>
  </r>
  <r>
    <n v="1871"/>
    <n v="502"/>
    <x v="307"/>
    <n v="78.87"/>
    <x v="3"/>
    <x v="3"/>
    <n v="5"/>
    <s v="2024-Feb"/>
    <n v="1"/>
    <n v="2024"/>
    <n v="2"/>
  </r>
  <r>
    <n v="1441"/>
    <n v="271"/>
    <x v="308"/>
    <n v="360.23"/>
    <x v="3"/>
    <x v="0"/>
    <n v="2"/>
    <s v="2024-Feb"/>
    <n v="0"/>
    <n v="2024"/>
    <n v="2"/>
  </r>
  <r>
    <n v="1444"/>
    <n v="789"/>
    <x v="308"/>
    <n v="116.94"/>
    <x v="5"/>
    <x v="2"/>
    <n v="2"/>
    <s v="2024-Feb"/>
    <n v="1"/>
    <n v="2024"/>
    <n v="2"/>
  </r>
  <r>
    <n v="1931"/>
    <n v="333"/>
    <x v="309"/>
    <n v="303.58999999999997"/>
    <x v="2"/>
    <x v="3"/>
    <n v="2"/>
    <s v="2024-Feb"/>
    <n v="0"/>
    <n v="2024"/>
    <n v="2"/>
  </r>
  <r>
    <n v="1472"/>
    <n v="401"/>
    <x v="309"/>
    <n v="85.07"/>
    <x v="6"/>
    <x v="1"/>
    <n v="3"/>
    <s v="2024-Feb"/>
    <n v="1"/>
    <n v="2024"/>
    <n v="2"/>
  </r>
  <r>
    <n v="1840"/>
    <n v="63"/>
    <x v="310"/>
    <n v="167.86"/>
    <x v="7"/>
    <x v="1"/>
    <n v="1"/>
    <s v="2024-Feb"/>
    <n v="0"/>
    <n v="2024"/>
    <n v="2"/>
  </r>
  <r>
    <n v="1122"/>
    <n v="308"/>
    <x v="310"/>
    <n v="79.099999999999994"/>
    <x v="3"/>
    <x v="6"/>
    <n v="1"/>
    <s v="2024-Feb"/>
    <n v="0"/>
    <n v="2024"/>
    <n v="2"/>
  </r>
  <r>
    <n v="1832"/>
    <n v="860"/>
    <x v="310"/>
    <n v="371.17"/>
    <x v="1"/>
    <x v="6"/>
    <n v="1"/>
    <s v="2024-Feb"/>
    <n v="0"/>
    <n v="2024"/>
    <n v="2"/>
  </r>
  <r>
    <n v="1016"/>
    <n v="465"/>
    <x v="311"/>
    <n v="310.94"/>
    <x v="3"/>
    <x v="5"/>
    <n v="1"/>
    <s v="2024-Feb"/>
    <n v="0"/>
    <n v="2024"/>
    <n v="2"/>
  </r>
  <r>
    <n v="1460"/>
    <n v="193"/>
    <x v="312"/>
    <n v="385.42"/>
    <x v="3"/>
    <x v="0"/>
    <n v="2"/>
    <s v="2024-Feb"/>
    <n v="0"/>
    <n v="2024"/>
    <n v="2"/>
  </r>
  <r>
    <n v="1841"/>
    <n v="712"/>
    <x v="313"/>
    <n v="350.35"/>
    <x v="3"/>
    <x v="2"/>
    <n v="1"/>
    <s v="2024-Mar"/>
    <n v="0"/>
    <n v="2024"/>
    <n v="3"/>
  </r>
  <r>
    <n v="1300"/>
    <n v="867"/>
    <x v="313"/>
    <n v="498.55"/>
    <x v="6"/>
    <x v="5"/>
    <n v="1"/>
    <s v="2024-Mar"/>
    <n v="0"/>
    <n v="2024"/>
    <n v="3"/>
  </r>
  <r>
    <n v="1546"/>
    <n v="461"/>
    <x v="314"/>
    <n v="392.43"/>
    <x v="1"/>
    <x v="4"/>
    <n v="3"/>
    <s v="2024-Mar"/>
    <n v="1"/>
    <n v="2024"/>
    <n v="3"/>
  </r>
  <r>
    <n v="1492"/>
    <n v="741"/>
    <x v="314"/>
    <n v="141.43"/>
    <x v="4"/>
    <x v="2"/>
    <n v="2"/>
    <s v="2024-Mar"/>
    <n v="1"/>
    <n v="2024"/>
    <n v="3"/>
  </r>
  <r>
    <n v="1304"/>
    <n v="935"/>
    <x v="315"/>
    <n v="192.85"/>
    <x v="6"/>
    <x v="1"/>
    <n v="2"/>
    <s v="2024-Mar"/>
    <n v="1"/>
    <n v="2024"/>
    <n v="3"/>
  </r>
  <r>
    <n v="1922"/>
    <n v="973"/>
    <x v="315"/>
    <n v="439.24"/>
    <x v="5"/>
    <x v="2"/>
    <n v="1"/>
    <s v="2024-Mar"/>
    <n v="0"/>
    <n v="2024"/>
    <n v="3"/>
  </r>
  <r>
    <n v="1877"/>
    <n v="407"/>
    <x v="316"/>
    <n v="201.6"/>
    <x v="3"/>
    <x v="2"/>
    <n v="1"/>
    <s v="2024-Mar"/>
    <n v="0"/>
    <n v="2024"/>
    <n v="3"/>
  </r>
  <r>
    <n v="1675"/>
    <n v="749"/>
    <x v="317"/>
    <n v="427.28"/>
    <x v="5"/>
    <x v="6"/>
    <n v="3"/>
    <s v="2024-Mar"/>
    <n v="1"/>
    <n v="2024"/>
    <n v="3"/>
  </r>
  <r>
    <n v="1646"/>
    <n v="61"/>
    <x v="318"/>
    <n v="242.24"/>
    <x v="2"/>
    <x v="4"/>
    <n v="1"/>
    <s v="2024-Mar"/>
    <n v="0"/>
    <n v="2024"/>
    <n v="3"/>
  </r>
  <r>
    <n v="1600"/>
    <n v="67"/>
    <x v="318"/>
    <n v="219.66"/>
    <x v="7"/>
    <x v="1"/>
    <n v="2"/>
    <s v="2024-Mar"/>
    <n v="0"/>
    <n v="2024"/>
    <n v="3"/>
  </r>
  <r>
    <n v="1230"/>
    <n v="236"/>
    <x v="318"/>
    <n v="380.88"/>
    <x v="6"/>
    <x v="6"/>
    <n v="3"/>
    <s v="2024-Mar"/>
    <n v="1"/>
    <n v="2024"/>
    <n v="3"/>
  </r>
  <r>
    <n v="1480"/>
    <n v="455"/>
    <x v="318"/>
    <n v="378.36"/>
    <x v="4"/>
    <x v="2"/>
    <n v="1"/>
    <s v="2024-Mar"/>
    <n v="0"/>
    <n v="2024"/>
    <n v="3"/>
  </r>
  <r>
    <n v="1655"/>
    <n v="642"/>
    <x v="318"/>
    <n v="420.78"/>
    <x v="4"/>
    <x v="6"/>
    <n v="3"/>
    <s v="2024-Mar"/>
    <n v="1"/>
    <n v="2024"/>
    <n v="3"/>
  </r>
  <r>
    <n v="1162"/>
    <n v="411"/>
    <x v="319"/>
    <n v="268.58"/>
    <x v="0"/>
    <x v="0"/>
    <n v="2"/>
    <s v="2024-Mar"/>
    <n v="0"/>
    <n v="2024"/>
    <n v="3"/>
  </r>
  <r>
    <n v="1769"/>
    <n v="23"/>
    <x v="320"/>
    <n v="470.91"/>
    <x v="3"/>
    <x v="1"/>
    <n v="1"/>
    <s v="2024-Mar"/>
    <n v="0"/>
    <n v="2024"/>
    <n v="3"/>
  </r>
  <r>
    <n v="1484"/>
    <n v="203"/>
    <x v="320"/>
    <n v="83.85"/>
    <x v="3"/>
    <x v="4"/>
    <n v="2"/>
    <s v="2024-Mar"/>
    <n v="0"/>
    <n v="2024"/>
    <n v="3"/>
  </r>
  <r>
    <n v="1251"/>
    <n v="871"/>
    <x v="320"/>
    <n v="345"/>
    <x v="7"/>
    <x v="5"/>
    <n v="2"/>
    <s v="2024-Mar"/>
    <n v="0"/>
    <n v="2024"/>
    <n v="3"/>
  </r>
  <r>
    <n v="1782"/>
    <n v="47"/>
    <x v="321"/>
    <n v="392.79"/>
    <x v="3"/>
    <x v="3"/>
    <n v="2"/>
    <s v="2024-Mar"/>
    <n v="1"/>
    <n v="2024"/>
    <n v="3"/>
  </r>
  <r>
    <n v="1969"/>
    <n v="731"/>
    <x v="322"/>
    <n v="116.49"/>
    <x v="7"/>
    <x v="6"/>
    <n v="1"/>
    <s v="2024-Mar"/>
    <n v="0"/>
    <n v="2024"/>
    <n v="3"/>
  </r>
  <r>
    <n v="1098"/>
    <n v="757"/>
    <x v="322"/>
    <n v="122.21"/>
    <x v="7"/>
    <x v="3"/>
    <n v="7"/>
    <s v="2024-Mar"/>
    <n v="1"/>
    <n v="2024"/>
    <n v="3"/>
  </r>
  <r>
    <n v="1967"/>
    <n v="952"/>
    <x v="322"/>
    <n v="490.99"/>
    <x v="6"/>
    <x v="4"/>
    <n v="2"/>
    <s v="2024-Mar"/>
    <n v="1"/>
    <n v="2024"/>
    <n v="3"/>
  </r>
  <r>
    <n v="1639"/>
    <n v="232"/>
    <x v="323"/>
    <n v="12.26"/>
    <x v="6"/>
    <x v="5"/>
    <n v="3"/>
    <s v="2024-Mar"/>
    <n v="1"/>
    <n v="2024"/>
    <n v="3"/>
  </r>
  <r>
    <n v="1962"/>
    <n v="336"/>
    <x v="323"/>
    <n v="387.45"/>
    <x v="4"/>
    <x v="4"/>
    <n v="2"/>
    <s v="2024-Mar"/>
    <n v="1"/>
    <n v="2024"/>
    <n v="3"/>
  </r>
  <r>
    <n v="1189"/>
    <n v="560"/>
    <x v="324"/>
    <n v="10.16"/>
    <x v="4"/>
    <x v="5"/>
    <n v="5"/>
    <s v="2024-Mar"/>
    <n v="1"/>
    <n v="2024"/>
    <n v="3"/>
  </r>
  <r>
    <n v="1563"/>
    <n v="199"/>
    <x v="325"/>
    <n v="414.29"/>
    <x v="7"/>
    <x v="5"/>
    <n v="3"/>
    <s v="2024-Mar"/>
    <n v="0"/>
    <n v="2024"/>
    <n v="3"/>
  </r>
  <r>
    <n v="1160"/>
    <n v="492"/>
    <x v="325"/>
    <n v="417.98"/>
    <x v="7"/>
    <x v="0"/>
    <n v="3"/>
    <s v="2024-Mar"/>
    <n v="1"/>
    <n v="2024"/>
    <n v="3"/>
  </r>
  <r>
    <n v="1257"/>
    <n v="689"/>
    <x v="325"/>
    <n v="121.75"/>
    <x v="5"/>
    <x v="2"/>
    <n v="1"/>
    <s v="2024-Mar"/>
    <n v="0"/>
    <n v="2024"/>
    <n v="3"/>
  </r>
  <r>
    <n v="1252"/>
    <n v="36"/>
    <x v="326"/>
    <n v="336.84"/>
    <x v="1"/>
    <x v="0"/>
    <n v="5"/>
    <s v="2024-Mar"/>
    <n v="1"/>
    <n v="2024"/>
    <n v="3"/>
  </r>
  <r>
    <n v="1524"/>
    <n v="211"/>
    <x v="326"/>
    <n v="59.01"/>
    <x v="1"/>
    <x v="3"/>
    <n v="3"/>
    <s v="2024-Mar"/>
    <n v="1"/>
    <n v="2024"/>
    <n v="3"/>
  </r>
  <r>
    <n v="1315"/>
    <n v="68"/>
    <x v="327"/>
    <n v="26.61"/>
    <x v="1"/>
    <x v="0"/>
    <n v="2"/>
    <s v="2024-Mar"/>
    <n v="1"/>
    <n v="2024"/>
    <n v="3"/>
  </r>
  <r>
    <n v="1186"/>
    <n v="325"/>
    <x v="328"/>
    <n v="300.54000000000002"/>
    <x v="5"/>
    <x v="1"/>
    <n v="1"/>
    <s v="2024-Mar"/>
    <n v="0"/>
    <n v="2024"/>
    <n v="3"/>
  </r>
  <r>
    <n v="1057"/>
    <n v="890"/>
    <x v="328"/>
    <n v="265.08999999999997"/>
    <x v="6"/>
    <x v="1"/>
    <n v="4"/>
    <s v="2024-Mar"/>
    <n v="1"/>
    <n v="2024"/>
    <n v="3"/>
  </r>
  <r>
    <n v="1747"/>
    <n v="37"/>
    <x v="329"/>
    <n v="476.02"/>
    <x v="1"/>
    <x v="3"/>
    <n v="1"/>
    <s v="2024-Mar"/>
    <n v="0"/>
    <n v="2024"/>
    <n v="3"/>
  </r>
  <r>
    <n v="1931"/>
    <n v="87"/>
    <x v="330"/>
    <n v="385.02"/>
    <x v="7"/>
    <x v="1"/>
    <n v="2"/>
    <s v="2024-Mar"/>
    <n v="1"/>
    <n v="2024"/>
    <n v="3"/>
  </r>
  <r>
    <n v="1600"/>
    <n v="625"/>
    <x v="330"/>
    <n v="281.23"/>
    <x v="4"/>
    <x v="5"/>
    <n v="2"/>
    <s v="2024-Mar"/>
    <n v="0"/>
    <n v="2024"/>
    <n v="3"/>
  </r>
  <r>
    <n v="1555"/>
    <n v="714"/>
    <x v="330"/>
    <n v="392.38"/>
    <x v="3"/>
    <x v="0"/>
    <n v="4"/>
    <s v="2024-Mar"/>
    <n v="1"/>
    <n v="2024"/>
    <n v="3"/>
  </r>
  <r>
    <n v="1662"/>
    <n v="509"/>
    <x v="331"/>
    <n v="430.48"/>
    <x v="4"/>
    <x v="3"/>
    <n v="2"/>
    <s v="2024-Mar"/>
    <n v="1"/>
    <n v="2024"/>
    <n v="3"/>
  </r>
  <r>
    <n v="1007"/>
    <n v="958"/>
    <x v="332"/>
    <n v="227.67"/>
    <x v="7"/>
    <x v="2"/>
    <n v="1"/>
    <s v="2024-Mar"/>
    <n v="0"/>
    <n v="2024"/>
    <n v="3"/>
  </r>
  <r>
    <n v="1222"/>
    <n v="824"/>
    <x v="333"/>
    <n v="198.41"/>
    <x v="1"/>
    <x v="6"/>
    <n v="2"/>
    <s v="2024-Mar"/>
    <n v="1"/>
    <n v="2024"/>
    <n v="3"/>
  </r>
  <r>
    <n v="1883"/>
    <n v="585"/>
    <x v="334"/>
    <n v="464.52"/>
    <x v="0"/>
    <x v="0"/>
    <n v="2"/>
    <s v="2024-Mar"/>
    <n v="1"/>
    <n v="2024"/>
    <n v="3"/>
  </r>
  <r>
    <n v="1360"/>
    <n v="896"/>
    <x v="334"/>
    <n v="453.15"/>
    <x v="5"/>
    <x v="2"/>
    <n v="1"/>
    <s v="2024-Mar"/>
    <n v="0"/>
    <n v="2024"/>
    <n v="3"/>
  </r>
  <r>
    <n v="1708"/>
    <n v="992"/>
    <x v="334"/>
    <n v="434.93"/>
    <x v="4"/>
    <x v="5"/>
    <n v="1"/>
    <s v="2024-Mar"/>
    <n v="0"/>
    <n v="2024"/>
    <n v="3"/>
  </r>
  <r>
    <n v="1160"/>
    <n v="32"/>
    <x v="335"/>
    <n v="104.43"/>
    <x v="7"/>
    <x v="5"/>
    <n v="3"/>
    <s v="2024-Apr"/>
    <n v="1"/>
    <n v="2024"/>
    <n v="4"/>
  </r>
  <r>
    <n v="1805"/>
    <n v="27"/>
    <x v="336"/>
    <n v="45.84"/>
    <x v="0"/>
    <x v="4"/>
    <n v="1"/>
    <s v="2024-Apr"/>
    <n v="0"/>
    <n v="2024"/>
    <n v="4"/>
  </r>
  <r>
    <n v="1180"/>
    <n v="481"/>
    <x v="336"/>
    <n v="196.6"/>
    <x v="4"/>
    <x v="3"/>
    <n v="1"/>
    <s v="2024-Apr"/>
    <n v="0"/>
    <n v="2024"/>
    <n v="4"/>
  </r>
  <r>
    <n v="1612"/>
    <n v="279"/>
    <x v="337"/>
    <n v="96.37"/>
    <x v="4"/>
    <x v="5"/>
    <n v="4"/>
    <s v="2024-Apr"/>
    <n v="1"/>
    <n v="2024"/>
    <n v="4"/>
  </r>
  <r>
    <n v="1440"/>
    <n v="931"/>
    <x v="337"/>
    <n v="437.74"/>
    <x v="5"/>
    <x v="3"/>
    <n v="1"/>
    <s v="2024-Apr"/>
    <n v="0"/>
    <n v="2024"/>
    <n v="4"/>
  </r>
  <r>
    <n v="1329"/>
    <n v="949"/>
    <x v="337"/>
    <n v="413.89"/>
    <x v="0"/>
    <x v="5"/>
    <n v="1"/>
    <s v="2024-Apr"/>
    <n v="0"/>
    <n v="2024"/>
    <n v="4"/>
  </r>
  <r>
    <n v="1403"/>
    <n v="383"/>
    <x v="338"/>
    <n v="132.24"/>
    <x v="2"/>
    <x v="3"/>
    <n v="1"/>
    <s v="2024-Apr"/>
    <n v="0"/>
    <n v="2024"/>
    <n v="4"/>
  </r>
  <r>
    <n v="1763"/>
    <n v="925"/>
    <x v="338"/>
    <n v="452.29"/>
    <x v="5"/>
    <x v="4"/>
    <n v="4"/>
    <s v="2024-Apr"/>
    <n v="1"/>
    <n v="2024"/>
    <n v="4"/>
  </r>
  <r>
    <n v="1330"/>
    <n v="13"/>
    <x v="339"/>
    <n v="363.52"/>
    <x v="3"/>
    <x v="6"/>
    <n v="2"/>
    <s v="2024-Apr"/>
    <n v="0"/>
    <n v="2024"/>
    <n v="4"/>
  </r>
  <r>
    <n v="1419"/>
    <n v="393"/>
    <x v="340"/>
    <n v="193.55"/>
    <x v="6"/>
    <x v="3"/>
    <n v="2"/>
    <s v="2024-Apr"/>
    <n v="1"/>
    <n v="2024"/>
    <n v="4"/>
  </r>
  <r>
    <n v="1483"/>
    <n v="812"/>
    <x v="341"/>
    <n v="67.5"/>
    <x v="4"/>
    <x v="6"/>
    <n v="1"/>
    <s v="2024-Apr"/>
    <n v="0"/>
    <n v="2024"/>
    <n v="4"/>
  </r>
  <r>
    <n v="1455"/>
    <n v="110"/>
    <x v="342"/>
    <n v="258.74"/>
    <x v="1"/>
    <x v="6"/>
    <n v="3"/>
    <s v="2024-Apr"/>
    <n v="1"/>
    <n v="2024"/>
    <n v="4"/>
  </r>
  <r>
    <n v="1288"/>
    <n v="664"/>
    <x v="342"/>
    <n v="196.9"/>
    <x v="4"/>
    <x v="1"/>
    <n v="2"/>
    <s v="2024-Apr"/>
    <n v="1"/>
    <n v="2024"/>
    <n v="4"/>
  </r>
  <r>
    <n v="1633"/>
    <n v="617"/>
    <x v="343"/>
    <n v="307.91000000000003"/>
    <x v="0"/>
    <x v="3"/>
    <n v="3"/>
    <s v="2024-Apr"/>
    <n v="1"/>
    <n v="2024"/>
    <n v="4"/>
  </r>
  <r>
    <n v="1828"/>
    <n v="894"/>
    <x v="343"/>
    <n v="360.94"/>
    <x v="0"/>
    <x v="2"/>
    <n v="3"/>
    <s v="2024-Apr"/>
    <n v="1"/>
    <n v="2024"/>
    <n v="4"/>
  </r>
  <r>
    <n v="1795"/>
    <n v="224"/>
    <x v="344"/>
    <n v="316.95"/>
    <x v="6"/>
    <x v="3"/>
    <n v="3"/>
    <s v="2024-Apr"/>
    <n v="1"/>
    <n v="2024"/>
    <n v="4"/>
  </r>
  <r>
    <n v="1037"/>
    <n v="440"/>
    <x v="345"/>
    <n v="65.41"/>
    <x v="1"/>
    <x v="0"/>
    <n v="1"/>
    <s v="2024-Apr"/>
    <n v="0"/>
    <n v="2024"/>
    <n v="4"/>
  </r>
  <r>
    <n v="1489"/>
    <n v="513"/>
    <x v="345"/>
    <n v="55.56"/>
    <x v="1"/>
    <x v="6"/>
    <n v="2"/>
    <s v="2024-Apr"/>
    <n v="0"/>
    <n v="2024"/>
    <n v="4"/>
  </r>
  <r>
    <n v="1392"/>
    <n v="187"/>
    <x v="346"/>
    <n v="489.42"/>
    <x v="1"/>
    <x v="2"/>
    <n v="4"/>
    <s v="2024-Apr"/>
    <n v="1"/>
    <n v="2024"/>
    <n v="4"/>
  </r>
  <r>
    <n v="1817"/>
    <n v="529"/>
    <x v="347"/>
    <n v="441.82"/>
    <x v="3"/>
    <x v="0"/>
    <n v="1"/>
    <s v="2024-Apr"/>
    <n v="0"/>
    <n v="2024"/>
    <n v="4"/>
  </r>
  <r>
    <n v="1391"/>
    <n v="145"/>
    <x v="348"/>
    <n v="391.99"/>
    <x v="6"/>
    <x v="4"/>
    <n v="2"/>
    <s v="2024-Apr"/>
    <n v="0"/>
    <n v="2024"/>
    <n v="4"/>
  </r>
  <r>
    <n v="1986"/>
    <n v="171"/>
    <x v="348"/>
    <n v="263.26"/>
    <x v="6"/>
    <x v="3"/>
    <n v="1"/>
    <s v="2024-Apr"/>
    <n v="0"/>
    <n v="2024"/>
    <n v="4"/>
  </r>
  <r>
    <n v="1684"/>
    <n v="915"/>
    <x v="348"/>
    <n v="40.97"/>
    <x v="3"/>
    <x v="1"/>
    <n v="2"/>
    <s v="2024-Apr"/>
    <n v="0"/>
    <n v="2024"/>
    <n v="4"/>
  </r>
  <r>
    <n v="1915"/>
    <n v="422"/>
    <x v="349"/>
    <n v="466.7"/>
    <x v="5"/>
    <x v="1"/>
    <n v="1"/>
    <s v="2024-Apr"/>
    <n v="0"/>
    <n v="2024"/>
    <n v="4"/>
  </r>
  <r>
    <n v="1661"/>
    <n v="21"/>
    <x v="350"/>
    <n v="176.28"/>
    <x v="2"/>
    <x v="1"/>
    <n v="1"/>
    <s v="2024-Apr"/>
    <n v="0"/>
    <n v="2024"/>
    <n v="4"/>
  </r>
  <r>
    <n v="1225"/>
    <n v="448"/>
    <x v="350"/>
    <n v="303.26"/>
    <x v="0"/>
    <x v="5"/>
    <n v="1"/>
    <s v="2024-Apr"/>
    <n v="0"/>
    <n v="2024"/>
    <n v="4"/>
  </r>
  <r>
    <n v="1115"/>
    <n v="486"/>
    <x v="350"/>
    <n v="396.22"/>
    <x v="0"/>
    <x v="6"/>
    <n v="1"/>
    <s v="2024-Apr"/>
    <n v="0"/>
    <n v="2024"/>
    <n v="4"/>
  </r>
  <r>
    <n v="1866"/>
    <n v="588"/>
    <x v="350"/>
    <n v="11.29"/>
    <x v="5"/>
    <x v="1"/>
    <n v="3"/>
    <s v="2024-Apr"/>
    <n v="1"/>
    <n v="2024"/>
    <n v="4"/>
  </r>
  <r>
    <n v="1191"/>
    <n v="462"/>
    <x v="351"/>
    <n v="136.37"/>
    <x v="0"/>
    <x v="4"/>
    <n v="3"/>
    <s v="2024-Apr"/>
    <n v="1"/>
    <n v="2024"/>
    <n v="4"/>
  </r>
  <r>
    <n v="1515"/>
    <n v="684"/>
    <x v="351"/>
    <n v="413.44"/>
    <x v="4"/>
    <x v="5"/>
    <n v="2"/>
    <s v="2024-Apr"/>
    <n v="1"/>
    <n v="2024"/>
    <n v="4"/>
  </r>
  <r>
    <n v="1848"/>
    <n v="726"/>
    <x v="351"/>
    <n v="452.44"/>
    <x v="0"/>
    <x v="1"/>
    <n v="1"/>
    <s v="2024-Apr"/>
    <n v="0"/>
    <n v="2024"/>
    <n v="4"/>
  </r>
  <r>
    <n v="1763"/>
    <n v="331"/>
    <x v="352"/>
    <n v="173.84"/>
    <x v="5"/>
    <x v="0"/>
    <n v="4"/>
    <s v="2024-Apr"/>
    <n v="1"/>
    <n v="2024"/>
    <n v="4"/>
  </r>
  <r>
    <n v="1434"/>
    <n v="643"/>
    <x v="352"/>
    <n v="417.18"/>
    <x v="0"/>
    <x v="3"/>
    <n v="1"/>
    <s v="2024-Apr"/>
    <n v="0"/>
    <n v="2024"/>
    <n v="4"/>
  </r>
  <r>
    <n v="1345"/>
    <n v="72"/>
    <x v="353"/>
    <n v="169.5"/>
    <x v="3"/>
    <x v="2"/>
    <n v="4"/>
    <s v="2024-Apr"/>
    <n v="1"/>
    <n v="2024"/>
    <n v="4"/>
  </r>
  <r>
    <n v="1637"/>
    <n v="622"/>
    <x v="354"/>
    <n v="439.18"/>
    <x v="5"/>
    <x v="5"/>
    <n v="3"/>
    <s v="2024-Apr"/>
    <n v="1"/>
    <n v="2024"/>
    <n v="4"/>
  </r>
  <r>
    <n v="1232"/>
    <n v="934"/>
    <x v="354"/>
    <n v="197.93"/>
    <x v="6"/>
    <x v="6"/>
    <n v="4"/>
    <s v="2024-Apr"/>
    <n v="1"/>
    <n v="2024"/>
    <n v="4"/>
  </r>
  <r>
    <n v="1408"/>
    <n v="907"/>
    <x v="355"/>
    <n v="370.95"/>
    <x v="0"/>
    <x v="3"/>
    <n v="1"/>
    <s v="2024-Apr"/>
    <n v="0"/>
    <n v="2024"/>
    <n v="4"/>
  </r>
  <r>
    <n v="1727"/>
    <n v="165"/>
    <x v="356"/>
    <n v="344.55"/>
    <x v="7"/>
    <x v="0"/>
    <n v="1"/>
    <s v="2024-Apr"/>
    <n v="0"/>
    <n v="2024"/>
    <n v="4"/>
  </r>
  <r>
    <n v="1431"/>
    <n v="660"/>
    <x v="356"/>
    <n v="93.29"/>
    <x v="0"/>
    <x v="1"/>
    <n v="1"/>
    <s v="2024-Apr"/>
    <n v="0"/>
    <n v="2024"/>
    <n v="4"/>
  </r>
  <r>
    <n v="1856"/>
    <n v="38"/>
    <x v="357"/>
    <n v="66.489999999999995"/>
    <x v="7"/>
    <x v="3"/>
    <n v="2"/>
    <s v="2024-May"/>
    <n v="1"/>
    <n v="2024"/>
    <n v="5"/>
  </r>
  <r>
    <n v="1761"/>
    <n v="669"/>
    <x v="358"/>
    <n v="56.55"/>
    <x v="0"/>
    <x v="3"/>
    <n v="2"/>
    <s v="2024-May"/>
    <n v="1"/>
    <n v="2024"/>
    <n v="5"/>
  </r>
  <r>
    <n v="1372"/>
    <n v="940"/>
    <x v="358"/>
    <n v="402.17"/>
    <x v="4"/>
    <x v="0"/>
    <n v="4"/>
    <s v="2024-May"/>
    <n v="1"/>
    <n v="2024"/>
    <n v="5"/>
  </r>
  <r>
    <n v="1496"/>
    <n v="690"/>
    <x v="359"/>
    <n v="188.85"/>
    <x v="6"/>
    <x v="0"/>
    <n v="3"/>
    <s v="2024-May"/>
    <n v="1"/>
    <n v="2024"/>
    <n v="5"/>
  </r>
  <r>
    <n v="1395"/>
    <n v="788"/>
    <x v="359"/>
    <n v="308.39"/>
    <x v="6"/>
    <x v="4"/>
    <n v="2"/>
    <s v="2024-May"/>
    <n v="0"/>
    <n v="2024"/>
    <n v="5"/>
  </r>
  <r>
    <n v="1853"/>
    <n v="508"/>
    <x v="360"/>
    <n v="308.97000000000003"/>
    <x v="4"/>
    <x v="6"/>
    <n v="2"/>
    <s v="2024-May"/>
    <n v="1"/>
    <n v="2024"/>
    <n v="5"/>
  </r>
  <r>
    <n v="1750"/>
    <n v="619"/>
    <x v="360"/>
    <n v="80.03"/>
    <x v="4"/>
    <x v="6"/>
    <n v="2"/>
    <s v="2024-May"/>
    <n v="1"/>
    <n v="2024"/>
    <n v="5"/>
  </r>
  <r>
    <n v="1731"/>
    <n v="968"/>
    <x v="361"/>
    <n v="117.04"/>
    <x v="6"/>
    <x v="0"/>
    <n v="2"/>
    <s v="2024-May"/>
    <n v="0"/>
    <n v="2024"/>
    <n v="5"/>
  </r>
  <r>
    <n v="1167"/>
    <n v="711"/>
    <x v="362"/>
    <n v="295.31"/>
    <x v="3"/>
    <x v="5"/>
    <n v="2"/>
    <s v="2024-May"/>
    <n v="1"/>
    <n v="2024"/>
    <n v="5"/>
  </r>
  <r>
    <n v="1216"/>
    <n v="772"/>
    <x v="362"/>
    <n v="157.81"/>
    <x v="2"/>
    <x v="5"/>
    <n v="3"/>
    <s v="2024-May"/>
    <n v="1"/>
    <n v="2024"/>
    <n v="5"/>
  </r>
  <r>
    <n v="1664"/>
    <n v="557"/>
    <x v="363"/>
    <n v="117.78"/>
    <x v="2"/>
    <x v="6"/>
    <n v="1"/>
    <s v="2024-May"/>
    <n v="0"/>
    <n v="2024"/>
    <n v="5"/>
  </r>
  <r>
    <n v="1093"/>
    <n v="652"/>
    <x v="364"/>
    <n v="66.73"/>
    <x v="0"/>
    <x v="2"/>
    <n v="1"/>
    <s v="2024-May"/>
    <n v="0"/>
    <n v="2024"/>
    <n v="5"/>
  </r>
  <r>
    <n v="1426"/>
    <n v="705"/>
    <x v="364"/>
    <n v="105.45"/>
    <x v="0"/>
    <x v="6"/>
    <n v="1"/>
    <s v="2024-May"/>
    <n v="0"/>
    <n v="2024"/>
    <n v="5"/>
  </r>
  <r>
    <n v="1246"/>
    <n v="638"/>
    <x v="365"/>
    <n v="190.75"/>
    <x v="1"/>
    <x v="5"/>
    <n v="2"/>
    <s v="2024-May"/>
    <n v="1"/>
    <n v="2024"/>
    <n v="5"/>
  </r>
  <r>
    <n v="1324"/>
    <n v="683"/>
    <x v="365"/>
    <n v="108.87"/>
    <x v="7"/>
    <x v="2"/>
    <n v="1"/>
    <s v="2024-May"/>
    <n v="0"/>
    <n v="2024"/>
    <n v="5"/>
  </r>
  <r>
    <n v="1325"/>
    <n v="326"/>
    <x v="366"/>
    <n v="339.54"/>
    <x v="1"/>
    <x v="3"/>
    <n v="1"/>
    <s v="2024-May"/>
    <n v="0"/>
    <n v="2024"/>
    <n v="5"/>
  </r>
  <r>
    <n v="1961"/>
    <n v="510"/>
    <x v="366"/>
    <n v="199.23"/>
    <x v="0"/>
    <x v="2"/>
    <n v="1"/>
    <s v="2024-May"/>
    <n v="0"/>
    <n v="2024"/>
    <n v="5"/>
  </r>
  <r>
    <n v="1035"/>
    <n v="537"/>
    <x v="366"/>
    <n v="402.05"/>
    <x v="6"/>
    <x v="6"/>
    <n v="2"/>
    <s v="2024-May"/>
    <n v="1"/>
    <n v="2024"/>
    <n v="5"/>
  </r>
  <r>
    <n v="1459"/>
    <n v="432"/>
    <x v="367"/>
    <n v="413.47"/>
    <x v="3"/>
    <x v="3"/>
    <n v="2"/>
    <s v="2024-May"/>
    <n v="1"/>
    <n v="2024"/>
    <n v="5"/>
  </r>
  <r>
    <n v="1487"/>
    <n v="626"/>
    <x v="367"/>
    <n v="406.82"/>
    <x v="7"/>
    <x v="4"/>
    <n v="1"/>
    <s v="2024-May"/>
    <n v="0"/>
    <n v="2024"/>
    <n v="5"/>
  </r>
  <r>
    <n v="1823"/>
    <n v="997"/>
    <x v="367"/>
    <n v="45.69"/>
    <x v="6"/>
    <x v="0"/>
    <n v="2"/>
    <s v="2024-May"/>
    <n v="1"/>
    <n v="2024"/>
    <n v="5"/>
  </r>
  <r>
    <n v="1517"/>
    <n v="472"/>
    <x v="368"/>
    <n v="424.77"/>
    <x v="3"/>
    <x v="4"/>
    <n v="1"/>
    <s v="2024-May"/>
    <n v="0"/>
    <n v="2024"/>
    <n v="5"/>
  </r>
  <r>
    <n v="1654"/>
    <n v="207"/>
    <x v="369"/>
    <n v="496.7"/>
    <x v="4"/>
    <x v="6"/>
    <n v="1"/>
    <s v="2024-May"/>
    <n v="0"/>
    <n v="2024"/>
    <n v="5"/>
  </r>
  <r>
    <n v="1609"/>
    <n v="315"/>
    <x v="369"/>
    <n v="93.33"/>
    <x v="3"/>
    <x v="1"/>
    <n v="1"/>
    <s v="2024-May"/>
    <n v="0"/>
    <n v="2024"/>
    <n v="5"/>
  </r>
  <r>
    <n v="1957"/>
    <n v="230"/>
    <x v="370"/>
    <n v="275.12"/>
    <x v="5"/>
    <x v="0"/>
    <n v="6"/>
    <s v="2024-May"/>
    <n v="1"/>
    <n v="2024"/>
    <n v="5"/>
  </r>
  <r>
    <n v="1047"/>
    <n v="161"/>
    <x v="371"/>
    <n v="294.41000000000003"/>
    <x v="2"/>
    <x v="3"/>
    <n v="1"/>
    <s v="2024-May"/>
    <n v="0"/>
    <n v="2024"/>
    <n v="5"/>
  </r>
  <r>
    <n v="1684"/>
    <n v="538"/>
    <x v="371"/>
    <n v="57.16"/>
    <x v="0"/>
    <x v="1"/>
    <n v="2"/>
    <s v="2024-May"/>
    <n v="1"/>
    <n v="2024"/>
    <n v="5"/>
  </r>
  <r>
    <n v="1061"/>
    <n v="778"/>
    <x v="371"/>
    <n v="211.91"/>
    <x v="6"/>
    <x v="2"/>
    <n v="1"/>
    <s v="2024-May"/>
    <n v="0"/>
    <n v="2024"/>
    <n v="5"/>
  </r>
  <r>
    <n v="1801"/>
    <n v="620"/>
    <x v="372"/>
    <n v="51.41"/>
    <x v="3"/>
    <x v="6"/>
    <n v="2"/>
    <s v="2024-May"/>
    <n v="1"/>
    <n v="2024"/>
    <n v="5"/>
  </r>
  <r>
    <n v="1347"/>
    <n v="960"/>
    <x v="372"/>
    <n v="64.52"/>
    <x v="3"/>
    <x v="2"/>
    <n v="3"/>
    <s v="2024-May"/>
    <n v="1"/>
    <n v="2024"/>
    <n v="5"/>
  </r>
  <r>
    <n v="1942"/>
    <n v="83"/>
    <x v="373"/>
    <n v="210.87"/>
    <x v="6"/>
    <x v="6"/>
    <n v="3"/>
    <s v="2024-May"/>
    <n v="1"/>
    <n v="2024"/>
    <n v="5"/>
  </r>
  <r>
    <n v="1929"/>
    <n v="159"/>
    <x v="373"/>
    <n v="48.84"/>
    <x v="7"/>
    <x v="3"/>
    <n v="1"/>
    <s v="2024-May"/>
    <n v="0"/>
    <n v="2024"/>
    <n v="5"/>
  </r>
  <r>
    <n v="1099"/>
    <n v="17"/>
    <x v="374"/>
    <n v="287.60000000000002"/>
    <x v="2"/>
    <x v="1"/>
    <n v="2"/>
    <s v="2024-May"/>
    <n v="1"/>
    <n v="2024"/>
    <n v="5"/>
  </r>
  <r>
    <n v="1676"/>
    <n v="254"/>
    <x v="374"/>
    <n v="218.28"/>
    <x v="2"/>
    <x v="1"/>
    <n v="1"/>
    <s v="2024-May"/>
    <n v="0"/>
    <n v="2024"/>
    <n v="5"/>
  </r>
  <r>
    <n v="1830"/>
    <n v="601"/>
    <x v="375"/>
    <n v="31.66"/>
    <x v="1"/>
    <x v="5"/>
    <n v="1"/>
    <s v="2024-May"/>
    <n v="0"/>
    <n v="2024"/>
    <n v="5"/>
  </r>
  <r>
    <n v="1295"/>
    <n v="115"/>
    <x v="376"/>
    <n v="205.49"/>
    <x v="3"/>
    <x v="1"/>
    <n v="1"/>
    <s v="2024-May"/>
    <n v="0"/>
    <n v="2024"/>
    <n v="5"/>
  </r>
  <r>
    <n v="1698"/>
    <n v="283"/>
    <x v="376"/>
    <n v="459.29"/>
    <x v="3"/>
    <x v="1"/>
    <n v="3"/>
    <s v="2024-May"/>
    <n v="0"/>
    <n v="2024"/>
    <n v="5"/>
  </r>
  <r>
    <n v="1758"/>
    <n v="526"/>
    <x v="377"/>
    <n v="117.35"/>
    <x v="6"/>
    <x v="3"/>
    <n v="2"/>
    <s v="2024-May"/>
    <n v="1"/>
    <n v="2024"/>
    <n v="5"/>
  </r>
  <r>
    <n v="1540"/>
    <n v="209"/>
    <x v="378"/>
    <n v="49.79"/>
    <x v="5"/>
    <x v="5"/>
    <n v="1"/>
    <s v="2024-May"/>
    <n v="0"/>
    <n v="2024"/>
    <n v="5"/>
  </r>
  <r>
    <n v="1612"/>
    <n v="706"/>
    <x v="378"/>
    <n v="284.95"/>
    <x v="5"/>
    <x v="3"/>
    <n v="4"/>
    <s v="2024-May"/>
    <n v="1"/>
    <n v="2024"/>
    <n v="5"/>
  </r>
  <r>
    <n v="1142"/>
    <n v="937"/>
    <x v="378"/>
    <n v="193.9"/>
    <x v="5"/>
    <x v="0"/>
    <n v="2"/>
    <s v="2024-May"/>
    <n v="0"/>
    <n v="2024"/>
    <n v="5"/>
  </r>
  <r>
    <n v="1928"/>
    <n v="344"/>
    <x v="379"/>
    <n v="223.99"/>
    <x v="5"/>
    <x v="4"/>
    <n v="5"/>
    <s v="2024-May"/>
    <n v="1"/>
    <n v="2024"/>
    <n v="5"/>
  </r>
  <r>
    <n v="1879"/>
    <n v="780"/>
    <x v="379"/>
    <n v="343.46"/>
    <x v="1"/>
    <x v="1"/>
    <n v="1"/>
    <s v="2024-May"/>
    <n v="0"/>
    <n v="2024"/>
    <n v="5"/>
  </r>
  <r>
    <n v="1130"/>
    <n v="20"/>
    <x v="380"/>
    <n v="109.12"/>
    <x v="1"/>
    <x v="1"/>
    <n v="3"/>
    <s v="2024-Jun"/>
    <n v="1"/>
    <n v="2024"/>
    <n v="6"/>
  </r>
  <r>
    <n v="1574"/>
    <n v="195"/>
    <x v="380"/>
    <n v="398.78"/>
    <x v="1"/>
    <x v="4"/>
    <n v="2"/>
    <s v="2024-Jun"/>
    <n v="0"/>
    <n v="2024"/>
    <n v="6"/>
  </r>
  <r>
    <n v="1441"/>
    <n v="680"/>
    <x v="381"/>
    <n v="349.23"/>
    <x v="3"/>
    <x v="5"/>
    <n v="2"/>
    <s v="2024-Jun"/>
    <n v="1"/>
    <n v="2024"/>
    <n v="6"/>
  </r>
  <r>
    <n v="1821"/>
    <n v="96"/>
    <x v="382"/>
    <n v="397.51"/>
    <x v="3"/>
    <x v="5"/>
    <n v="2"/>
    <s v="2024-Jun"/>
    <n v="1"/>
    <n v="2024"/>
    <n v="6"/>
  </r>
  <r>
    <n v="1200"/>
    <n v="977"/>
    <x v="382"/>
    <n v="314.95999999999998"/>
    <x v="2"/>
    <x v="6"/>
    <n v="3"/>
    <s v="2024-Jun"/>
    <n v="1"/>
    <n v="2024"/>
    <n v="6"/>
  </r>
  <r>
    <n v="1091"/>
    <n v="549"/>
    <x v="383"/>
    <n v="277.06"/>
    <x v="5"/>
    <x v="0"/>
    <n v="2"/>
    <s v="2024-Jun"/>
    <n v="0"/>
    <n v="2024"/>
    <n v="6"/>
  </r>
  <r>
    <n v="1698"/>
    <n v="784"/>
    <x v="383"/>
    <n v="204.97"/>
    <x v="2"/>
    <x v="6"/>
    <n v="3"/>
    <s v="2024-Jun"/>
    <n v="1"/>
    <n v="2024"/>
    <n v="6"/>
  </r>
  <r>
    <n v="1468"/>
    <n v="811"/>
    <x v="383"/>
    <n v="13.88"/>
    <x v="0"/>
    <x v="0"/>
    <n v="1"/>
    <s v="2024-Jun"/>
    <n v="0"/>
    <n v="2024"/>
    <n v="6"/>
  </r>
  <r>
    <n v="1449"/>
    <n v="995"/>
    <x v="383"/>
    <n v="17.45"/>
    <x v="1"/>
    <x v="4"/>
    <n v="1"/>
    <s v="2024-Jun"/>
    <n v="0"/>
    <n v="2024"/>
    <n v="6"/>
  </r>
  <r>
    <n v="1488"/>
    <n v="343"/>
    <x v="384"/>
    <n v="310.49"/>
    <x v="5"/>
    <x v="6"/>
    <n v="1"/>
    <s v="2024-Jun"/>
    <n v="0"/>
    <n v="2024"/>
    <n v="6"/>
  </r>
  <r>
    <n v="1537"/>
    <n v="527"/>
    <x v="385"/>
    <n v="445.25"/>
    <x v="7"/>
    <x v="1"/>
    <n v="1"/>
    <s v="2024-Jun"/>
    <n v="0"/>
    <n v="2024"/>
    <n v="6"/>
  </r>
  <r>
    <n v="1748"/>
    <n v="118"/>
    <x v="386"/>
    <n v="333"/>
    <x v="0"/>
    <x v="3"/>
    <n v="2"/>
    <s v="2024-Jun"/>
    <n v="0"/>
    <n v="2024"/>
    <n v="6"/>
  </r>
  <r>
    <n v="1085"/>
    <n v="645"/>
    <x v="386"/>
    <n v="376.03"/>
    <x v="6"/>
    <x v="6"/>
    <n v="2"/>
    <s v="2024-Jun"/>
    <n v="1"/>
    <n v="2024"/>
    <n v="6"/>
  </r>
  <r>
    <n v="1090"/>
    <n v="878"/>
    <x v="386"/>
    <n v="171.74"/>
    <x v="0"/>
    <x v="5"/>
    <n v="1"/>
    <s v="2024-Jun"/>
    <n v="0"/>
    <n v="2024"/>
    <n v="6"/>
  </r>
  <r>
    <n v="1133"/>
    <n v="912"/>
    <x v="386"/>
    <n v="87.73"/>
    <x v="4"/>
    <x v="2"/>
    <n v="1"/>
    <s v="2024-Jun"/>
    <n v="0"/>
    <n v="2024"/>
    <n v="6"/>
  </r>
  <r>
    <n v="1177"/>
    <n v="966"/>
    <x v="386"/>
    <n v="413.14"/>
    <x v="6"/>
    <x v="0"/>
    <n v="1"/>
    <s v="2024-Jun"/>
    <n v="0"/>
    <n v="2024"/>
    <n v="6"/>
  </r>
  <r>
    <n v="1612"/>
    <n v="175"/>
    <x v="387"/>
    <n v="70.69"/>
    <x v="5"/>
    <x v="3"/>
    <n v="4"/>
    <s v="2024-Jun"/>
    <n v="1"/>
    <n v="2024"/>
    <n v="6"/>
  </r>
  <r>
    <n v="1530"/>
    <n v="881"/>
    <x v="387"/>
    <n v="59.82"/>
    <x v="2"/>
    <x v="3"/>
    <n v="1"/>
    <s v="2024-Jun"/>
    <n v="0"/>
    <n v="2024"/>
    <n v="6"/>
  </r>
  <r>
    <n v="1592"/>
    <n v="144"/>
    <x v="388"/>
    <n v="269.08999999999997"/>
    <x v="6"/>
    <x v="3"/>
    <n v="1"/>
    <s v="2024-Jun"/>
    <n v="0"/>
    <n v="2024"/>
    <n v="6"/>
  </r>
  <r>
    <n v="1230"/>
    <n v="152"/>
    <x v="388"/>
    <n v="493.41"/>
    <x v="6"/>
    <x v="0"/>
    <n v="3"/>
    <s v="2024-Jun"/>
    <n v="1"/>
    <n v="2024"/>
    <n v="6"/>
  </r>
  <r>
    <n v="1438"/>
    <n v="305"/>
    <x v="388"/>
    <n v="337.36"/>
    <x v="0"/>
    <x v="6"/>
    <n v="1"/>
    <s v="2024-Jun"/>
    <n v="0"/>
    <n v="2024"/>
    <n v="6"/>
  </r>
  <r>
    <n v="1142"/>
    <n v="548"/>
    <x v="388"/>
    <n v="209"/>
    <x v="7"/>
    <x v="2"/>
    <n v="2"/>
    <s v="2024-Jun"/>
    <n v="1"/>
    <n v="2024"/>
    <n v="6"/>
  </r>
  <r>
    <n v="1159"/>
    <n v="693"/>
    <x v="388"/>
    <n v="384.46"/>
    <x v="1"/>
    <x v="0"/>
    <n v="3"/>
    <s v="2024-Jun"/>
    <n v="1"/>
    <n v="2024"/>
    <n v="6"/>
  </r>
  <r>
    <n v="1690"/>
    <n v="704"/>
    <x v="389"/>
    <n v="475.4"/>
    <x v="7"/>
    <x v="2"/>
    <n v="2"/>
    <s v="2024-Jun"/>
    <n v="0"/>
    <n v="2024"/>
    <n v="6"/>
  </r>
  <r>
    <n v="1647"/>
    <n v="963"/>
    <x v="389"/>
    <n v="27.83"/>
    <x v="4"/>
    <x v="2"/>
    <n v="3"/>
    <s v="2024-Jun"/>
    <n v="1"/>
    <n v="2024"/>
    <n v="6"/>
  </r>
  <r>
    <n v="1593"/>
    <n v="989"/>
    <x v="389"/>
    <n v="370.1"/>
    <x v="1"/>
    <x v="3"/>
    <n v="1"/>
    <s v="2024-Jun"/>
    <n v="0"/>
    <n v="2024"/>
    <n v="6"/>
  </r>
  <r>
    <n v="1391"/>
    <n v="425"/>
    <x v="390"/>
    <n v="160.30000000000001"/>
    <x v="1"/>
    <x v="6"/>
    <n v="2"/>
    <s v="2024-Jun"/>
    <n v="1"/>
    <n v="2024"/>
    <n v="6"/>
  </r>
  <r>
    <n v="1627"/>
    <n v="244"/>
    <x v="391"/>
    <n v="78.75"/>
    <x v="4"/>
    <x v="5"/>
    <n v="2"/>
    <s v="2024-Jun"/>
    <n v="0"/>
    <n v="2024"/>
    <n v="6"/>
  </r>
  <r>
    <n v="1524"/>
    <n v="532"/>
    <x v="391"/>
    <n v="224.42"/>
    <x v="7"/>
    <x v="2"/>
    <n v="3"/>
    <s v="2024-Jun"/>
    <n v="1"/>
    <n v="2024"/>
    <n v="6"/>
  </r>
  <r>
    <n v="1251"/>
    <n v="113"/>
    <x v="392"/>
    <n v="221.4"/>
    <x v="0"/>
    <x v="4"/>
    <n v="2"/>
    <s v="2024-Jun"/>
    <n v="1"/>
    <n v="2024"/>
    <n v="6"/>
  </r>
  <r>
    <n v="1216"/>
    <n v="866"/>
    <x v="393"/>
    <n v="164.89"/>
    <x v="2"/>
    <x v="6"/>
    <n v="3"/>
    <s v="2024-Jun"/>
    <n v="1"/>
    <n v="2024"/>
    <n v="6"/>
  </r>
  <r>
    <n v="1546"/>
    <n v="986"/>
    <x v="394"/>
    <n v="129.88999999999999"/>
    <x v="2"/>
    <x v="4"/>
    <n v="3"/>
    <s v="2024-Jun"/>
    <n v="1"/>
    <n v="2024"/>
    <n v="6"/>
  </r>
  <r>
    <n v="1960"/>
    <n v="173"/>
    <x v="395"/>
    <n v="268.45999999999998"/>
    <x v="3"/>
    <x v="5"/>
    <n v="1"/>
    <s v="2024-Jun"/>
    <n v="0"/>
    <n v="2024"/>
    <n v="6"/>
  </r>
  <r>
    <n v="1579"/>
    <n v="417"/>
    <x v="395"/>
    <n v="16.329999999999998"/>
    <x v="1"/>
    <x v="1"/>
    <n v="1"/>
    <s v="2024-Jun"/>
    <n v="0"/>
    <n v="2024"/>
    <n v="6"/>
  </r>
  <r>
    <n v="1611"/>
    <n v="663"/>
    <x v="395"/>
    <n v="94.75"/>
    <x v="1"/>
    <x v="2"/>
    <n v="2"/>
    <s v="2024-Jun"/>
    <n v="0"/>
    <n v="2024"/>
    <n v="6"/>
  </r>
  <r>
    <n v="1150"/>
    <n v="814"/>
    <x v="395"/>
    <n v="85"/>
    <x v="6"/>
    <x v="1"/>
    <n v="2"/>
    <s v="2024-Jun"/>
    <n v="1"/>
    <n v="2024"/>
    <n v="6"/>
  </r>
  <r>
    <n v="1521"/>
    <n v="670"/>
    <x v="396"/>
    <n v="116.59"/>
    <x v="6"/>
    <x v="5"/>
    <n v="1"/>
    <s v="2024-Jun"/>
    <n v="0"/>
    <n v="2024"/>
    <n v="6"/>
  </r>
  <r>
    <n v="1046"/>
    <n v="933"/>
    <x v="396"/>
    <n v="88.7"/>
    <x v="5"/>
    <x v="2"/>
    <n v="3"/>
    <s v="2024-Jun"/>
    <n v="1"/>
    <n v="2024"/>
    <n v="6"/>
  </r>
  <r>
    <n v="1735"/>
    <n v="950"/>
    <x v="397"/>
    <n v="351.16"/>
    <x v="0"/>
    <x v="5"/>
    <n v="3"/>
    <s v="2024-Jun"/>
    <n v="1"/>
    <n v="2024"/>
    <n v="6"/>
  </r>
  <r>
    <n v="1040"/>
    <n v="970"/>
    <x v="397"/>
    <n v="301.41000000000003"/>
    <x v="5"/>
    <x v="2"/>
    <n v="3"/>
    <s v="2024-Jun"/>
    <n v="1"/>
    <n v="2024"/>
    <n v="6"/>
  </r>
  <r>
    <n v="1098"/>
    <n v="806"/>
    <x v="398"/>
    <n v="173.19"/>
    <x v="5"/>
    <x v="4"/>
    <n v="7"/>
    <s v="2024-Jun"/>
    <n v="1"/>
    <n v="2024"/>
    <n v="6"/>
  </r>
  <r>
    <n v="1897"/>
    <n v="74"/>
    <x v="399"/>
    <n v="249.17"/>
    <x v="2"/>
    <x v="6"/>
    <n v="2"/>
    <s v="2024-Jun"/>
    <n v="1"/>
    <n v="2024"/>
    <n v="6"/>
  </r>
  <r>
    <n v="1795"/>
    <n v="217"/>
    <x v="400"/>
    <n v="439.56"/>
    <x v="0"/>
    <x v="3"/>
    <n v="3"/>
    <s v="2024-Jun"/>
    <n v="1"/>
    <n v="2024"/>
    <n v="6"/>
  </r>
  <r>
    <n v="1205"/>
    <n v="85"/>
    <x v="401"/>
    <n v="316.24"/>
    <x v="1"/>
    <x v="0"/>
    <n v="1"/>
    <s v="2024-Jun"/>
    <n v="0"/>
    <n v="2024"/>
    <n v="6"/>
  </r>
  <r>
    <n v="1052"/>
    <n v="121"/>
    <x v="401"/>
    <n v="159.51"/>
    <x v="5"/>
    <x v="0"/>
    <n v="3"/>
    <s v="2024-Jun"/>
    <n v="1"/>
    <n v="2024"/>
    <n v="6"/>
  </r>
  <r>
    <n v="1011"/>
    <n v="717"/>
    <x v="401"/>
    <n v="116.64"/>
    <x v="2"/>
    <x v="3"/>
    <n v="2"/>
    <s v="2024-Jun"/>
    <n v="1"/>
    <n v="2024"/>
    <n v="6"/>
  </r>
  <r>
    <n v="1080"/>
    <n v="282"/>
    <x v="402"/>
    <n v="96.69"/>
    <x v="1"/>
    <x v="6"/>
    <n v="2"/>
    <s v="2024-Jun"/>
    <n v="1"/>
    <n v="2024"/>
    <n v="6"/>
  </r>
  <r>
    <n v="1556"/>
    <n v="220"/>
    <x v="403"/>
    <n v="190.96"/>
    <x v="2"/>
    <x v="6"/>
    <n v="1"/>
    <s v="2024-Jul"/>
    <n v="0"/>
    <n v="2024"/>
    <n v="7"/>
  </r>
  <r>
    <n v="1175"/>
    <n v="522"/>
    <x v="403"/>
    <n v="413.44"/>
    <x v="1"/>
    <x v="4"/>
    <n v="1"/>
    <s v="2024-Jul"/>
    <n v="0"/>
    <n v="2024"/>
    <n v="7"/>
  </r>
  <r>
    <n v="1640"/>
    <n v="615"/>
    <x v="403"/>
    <n v="380.3"/>
    <x v="4"/>
    <x v="3"/>
    <n v="2"/>
    <s v="2024-Jul"/>
    <n v="0"/>
    <n v="2024"/>
    <n v="7"/>
  </r>
  <r>
    <n v="1648"/>
    <n v="252"/>
    <x v="404"/>
    <n v="263.01"/>
    <x v="7"/>
    <x v="3"/>
    <n v="1"/>
    <s v="2024-Jul"/>
    <n v="0"/>
    <n v="2024"/>
    <n v="7"/>
  </r>
  <r>
    <n v="1496"/>
    <n v="270"/>
    <x v="404"/>
    <n v="49.37"/>
    <x v="2"/>
    <x v="0"/>
    <n v="3"/>
    <s v="2024-Jul"/>
    <n v="1"/>
    <n v="2024"/>
    <n v="7"/>
  </r>
  <r>
    <n v="1345"/>
    <n v="335"/>
    <x v="404"/>
    <n v="453.23"/>
    <x v="3"/>
    <x v="6"/>
    <n v="4"/>
    <s v="2024-Jul"/>
    <n v="1"/>
    <n v="2024"/>
    <n v="7"/>
  </r>
  <r>
    <n v="1896"/>
    <n v="369"/>
    <x v="404"/>
    <n v="411.79"/>
    <x v="6"/>
    <x v="3"/>
    <n v="2"/>
    <s v="2024-Jul"/>
    <n v="1"/>
    <n v="2024"/>
    <n v="7"/>
  </r>
  <r>
    <n v="1681"/>
    <n v="43"/>
    <x v="405"/>
    <n v="152.91999999999999"/>
    <x v="1"/>
    <x v="4"/>
    <n v="4"/>
    <s v="2024-Jul"/>
    <n v="1"/>
    <n v="2024"/>
    <n v="7"/>
  </r>
  <r>
    <n v="1786"/>
    <n v="873"/>
    <x v="405"/>
    <n v="19.54"/>
    <x v="4"/>
    <x v="5"/>
    <n v="2"/>
    <s v="2024-Jul"/>
    <n v="0"/>
    <n v="2024"/>
    <n v="7"/>
  </r>
  <r>
    <n v="1353"/>
    <n v="550"/>
    <x v="406"/>
    <n v="416.11"/>
    <x v="7"/>
    <x v="2"/>
    <n v="1"/>
    <s v="2024-Jul"/>
    <n v="0"/>
    <n v="2024"/>
    <n v="7"/>
  </r>
  <r>
    <n v="1891"/>
    <n v="192"/>
    <x v="407"/>
    <n v="432.98"/>
    <x v="1"/>
    <x v="5"/>
    <n v="2"/>
    <s v="2024-Jul"/>
    <n v="1"/>
    <n v="2024"/>
    <n v="7"/>
  </r>
  <r>
    <n v="1123"/>
    <n v="324"/>
    <x v="407"/>
    <n v="140.9"/>
    <x v="4"/>
    <x v="5"/>
    <n v="1"/>
    <s v="2024-Jul"/>
    <n v="0"/>
    <n v="2024"/>
    <n v="7"/>
  </r>
  <r>
    <n v="1028"/>
    <n v="853"/>
    <x v="408"/>
    <n v="367.65"/>
    <x v="3"/>
    <x v="2"/>
    <n v="1"/>
    <s v="2024-Jul"/>
    <n v="0"/>
    <n v="2024"/>
    <n v="7"/>
  </r>
  <r>
    <n v="1510"/>
    <n v="864"/>
    <x v="408"/>
    <n v="65.599999999999994"/>
    <x v="3"/>
    <x v="1"/>
    <n v="4"/>
    <s v="2024-Jul"/>
    <n v="1"/>
    <n v="2024"/>
    <n v="7"/>
  </r>
  <r>
    <n v="1935"/>
    <n v="590"/>
    <x v="409"/>
    <n v="337.37"/>
    <x v="3"/>
    <x v="1"/>
    <n v="2"/>
    <s v="2024-Jul"/>
    <n v="0"/>
    <n v="2024"/>
    <n v="7"/>
  </r>
  <r>
    <n v="1389"/>
    <n v="988"/>
    <x v="409"/>
    <n v="246.75"/>
    <x v="0"/>
    <x v="0"/>
    <n v="2"/>
    <s v="2024-Jul"/>
    <n v="0"/>
    <n v="2024"/>
    <n v="7"/>
  </r>
  <r>
    <n v="1258"/>
    <n v="247"/>
    <x v="410"/>
    <n v="240.96"/>
    <x v="3"/>
    <x v="5"/>
    <n v="2"/>
    <s v="2024-Jul"/>
    <n v="1"/>
    <n v="2024"/>
    <n v="7"/>
  </r>
  <r>
    <n v="1608"/>
    <n v="451"/>
    <x v="411"/>
    <n v="284.39999999999998"/>
    <x v="2"/>
    <x v="3"/>
    <n v="2"/>
    <s v="2024-Jul"/>
    <n v="1"/>
    <n v="2024"/>
    <n v="7"/>
  </r>
  <r>
    <n v="1731"/>
    <n v="981"/>
    <x v="412"/>
    <n v="217.45"/>
    <x v="3"/>
    <x v="0"/>
    <n v="2"/>
    <s v="2024-Jul"/>
    <n v="1"/>
    <n v="2024"/>
    <n v="7"/>
  </r>
  <r>
    <n v="1091"/>
    <n v="76"/>
    <x v="413"/>
    <n v="204.61"/>
    <x v="6"/>
    <x v="2"/>
    <n v="2"/>
    <s v="2024-Jul"/>
    <n v="1"/>
    <n v="2024"/>
    <n v="7"/>
  </r>
  <r>
    <n v="1735"/>
    <n v="765"/>
    <x v="414"/>
    <n v="314.08999999999997"/>
    <x v="5"/>
    <x v="6"/>
    <n v="3"/>
    <s v="2024-Jul"/>
    <n v="1"/>
    <n v="2024"/>
    <n v="7"/>
  </r>
  <r>
    <n v="1491"/>
    <n v="25"/>
    <x v="415"/>
    <n v="269.45"/>
    <x v="2"/>
    <x v="1"/>
    <n v="2"/>
    <s v="2024-Jul"/>
    <n v="0"/>
    <n v="2024"/>
    <n v="7"/>
  </r>
  <r>
    <n v="1860"/>
    <n v="404"/>
    <x v="416"/>
    <n v="285.45"/>
    <x v="7"/>
    <x v="2"/>
    <n v="3"/>
    <s v="2024-Jul"/>
    <n v="1"/>
    <n v="2024"/>
    <n v="7"/>
  </r>
  <r>
    <n v="1491"/>
    <n v="838"/>
    <x v="417"/>
    <n v="323.12"/>
    <x v="2"/>
    <x v="4"/>
    <n v="2"/>
    <s v="2024-Jul"/>
    <n v="0"/>
    <n v="2024"/>
    <n v="7"/>
  </r>
  <r>
    <n v="1046"/>
    <n v="651"/>
    <x v="418"/>
    <n v="253.51"/>
    <x v="2"/>
    <x v="4"/>
    <n v="3"/>
    <s v="2024-Jul"/>
    <n v="1"/>
    <n v="2024"/>
    <n v="7"/>
  </r>
  <r>
    <n v="1401"/>
    <n v="932"/>
    <x v="419"/>
    <n v="5.09"/>
    <x v="7"/>
    <x v="6"/>
    <n v="2"/>
    <s v="2024-Jul"/>
    <n v="1"/>
    <n v="2024"/>
    <n v="7"/>
  </r>
  <r>
    <n v="1089"/>
    <n v="962"/>
    <x v="419"/>
    <n v="135.34"/>
    <x v="2"/>
    <x v="1"/>
    <n v="2"/>
    <s v="2024-Jul"/>
    <n v="1"/>
    <n v="2024"/>
    <n v="7"/>
  </r>
  <r>
    <n v="1022"/>
    <n v="668"/>
    <x v="420"/>
    <n v="363.09"/>
    <x v="4"/>
    <x v="3"/>
    <n v="1"/>
    <s v="2024-Jul"/>
    <n v="0"/>
    <n v="2024"/>
    <n v="7"/>
  </r>
  <r>
    <n v="1036"/>
    <n v="766"/>
    <x v="420"/>
    <n v="249.77"/>
    <x v="6"/>
    <x v="3"/>
    <n v="3"/>
    <s v="2024-Jul"/>
    <n v="1"/>
    <n v="2024"/>
    <n v="7"/>
  </r>
  <r>
    <n v="1794"/>
    <n v="849"/>
    <x v="420"/>
    <n v="255.99"/>
    <x v="7"/>
    <x v="4"/>
    <n v="2"/>
    <s v="2024-Jul"/>
    <n v="1"/>
    <n v="2024"/>
    <n v="7"/>
  </r>
  <r>
    <n v="1633"/>
    <n v="850"/>
    <x v="420"/>
    <n v="301.07"/>
    <x v="2"/>
    <x v="3"/>
    <n v="3"/>
    <s v="2024-Jul"/>
    <n v="1"/>
    <n v="2024"/>
    <n v="7"/>
  </r>
  <r>
    <n v="1641"/>
    <n v="286"/>
    <x v="421"/>
    <n v="408.8"/>
    <x v="1"/>
    <x v="3"/>
    <n v="1"/>
    <s v="2024-Jul"/>
    <n v="0"/>
    <n v="2024"/>
    <n v="7"/>
  </r>
  <r>
    <n v="1347"/>
    <n v="901"/>
    <x v="421"/>
    <n v="290.74"/>
    <x v="4"/>
    <x v="6"/>
    <n v="3"/>
    <s v="2024-Jul"/>
    <n v="1"/>
    <n v="2024"/>
    <n v="7"/>
  </r>
  <r>
    <n v="1064"/>
    <n v="133"/>
    <x v="422"/>
    <n v="227.14"/>
    <x v="7"/>
    <x v="3"/>
    <n v="1"/>
    <s v="2024-Jul"/>
    <n v="0"/>
    <n v="2024"/>
    <n v="7"/>
  </r>
  <r>
    <n v="1611"/>
    <n v="787"/>
    <x v="422"/>
    <n v="276.68"/>
    <x v="5"/>
    <x v="0"/>
    <n v="2"/>
    <s v="2024-Jul"/>
    <n v="1"/>
    <n v="2024"/>
    <n v="7"/>
  </r>
  <r>
    <n v="1330"/>
    <n v="231"/>
    <x v="423"/>
    <n v="224.99"/>
    <x v="1"/>
    <x v="6"/>
    <n v="2"/>
    <s v="2024-Jul"/>
    <n v="1"/>
    <n v="2024"/>
    <n v="7"/>
  </r>
  <r>
    <n v="1129"/>
    <n v="296"/>
    <x v="423"/>
    <n v="91.51"/>
    <x v="7"/>
    <x v="4"/>
    <n v="1"/>
    <s v="2024-Jul"/>
    <n v="0"/>
    <n v="2024"/>
    <n v="7"/>
  </r>
  <r>
    <n v="1766"/>
    <n v="310"/>
    <x v="424"/>
    <n v="80.73"/>
    <x v="2"/>
    <x v="1"/>
    <n v="2"/>
    <s v="2024-Jul"/>
    <n v="1"/>
    <n v="2024"/>
    <n v="7"/>
  </r>
  <r>
    <n v="1995"/>
    <n v="415"/>
    <x v="424"/>
    <n v="410.27"/>
    <x v="5"/>
    <x v="4"/>
    <n v="2"/>
    <s v="2024-Jul"/>
    <n v="1"/>
    <n v="2024"/>
    <n v="7"/>
  </r>
  <r>
    <n v="1694"/>
    <n v="769"/>
    <x v="424"/>
    <n v="363.95"/>
    <x v="1"/>
    <x v="4"/>
    <n v="1"/>
    <s v="2024-Jul"/>
    <n v="0"/>
    <n v="2024"/>
    <n v="7"/>
  </r>
  <r>
    <n v="1819"/>
    <n v="591"/>
    <x v="425"/>
    <n v="161.88"/>
    <x v="1"/>
    <x v="1"/>
    <n v="2"/>
    <s v="2024-Jul"/>
    <n v="0"/>
    <n v="2024"/>
    <n v="7"/>
  </r>
  <r>
    <n v="1825"/>
    <n v="738"/>
    <x v="426"/>
    <n v="27.07"/>
    <x v="3"/>
    <x v="4"/>
    <n v="1"/>
    <s v="2024-Jul"/>
    <n v="0"/>
    <n v="2024"/>
    <n v="7"/>
  </r>
  <r>
    <n v="1484"/>
    <n v="59"/>
    <x v="427"/>
    <n v="298.67"/>
    <x v="0"/>
    <x v="6"/>
    <n v="2"/>
    <s v="2024-Jul"/>
    <n v="1"/>
    <n v="2024"/>
    <n v="7"/>
  </r>
  <r>
    <n v="1143"/>
    <n v="321"/>
    <x v="428"/>
    <n v="317.85000000000002"/>
    <x v="1"/>
    <x v="3"/>
    <n v="4"/>
    <s v="2024-Aug"/>
    <n v="1"/>
    <n v="2024"/>
    <n v="8"/>
  </r>
  <r>
    <n v="1792"/>
    <n v="497"/>
    <x v="428"/>
    <n v="188.85"/>
    <x v="0"/>
    <x v="6"/>
    <n v="1"/>
    <s v="2024-Aug"/>
    <n v="0"/>
    <n v="2024"/>
    <n v="8"/>
  </r>
  <r>
    <n v="1642"/>
    <n v="178"/>
    <x v="429"/>
    <n v="367.78"/>
    <x v="6"/>
    <x v="6"/>
    <n v="1"/>
    <s v="2024-Aug"/>
    <n v="0"/>
    <n v="2024"/>
    <n v="8"/>
  </r>
  <r>
    <n v="1563"/>
    <n v="799"/>
    <x v="429"/>
    <n v="148.84"/>
    <x v="1"/>
    <x v="5"/>
    <n v="3"/>
    <s v="2024-Aug"/>
    <n v="1"/>
    <n v="2024"/>
    <n v="8"/>
  </r>
  <r>
    <n v="1509"/>
    <n v="274"/>
    <x v="430"/>
    <n v="412.47"/>
    <x v="2"/>
    <x v="4"/>
    <n v="2"/>
    <s v="2024-Aug"/>
    <n v="0"/>
    <n v="2024"/>
    <n v="8"/>
  </r>
  <r>
    <n v="1748"/>
    <n v="206"/>
    <x v="431"/>
    <n v="433.89"/>
    <x v="5"/>
    <x v="4"/>
    <n v="2"/>
    <s v="2024-Aug"/>
    <n v="1"/>
    <n v="2024"/>
    <n v="8"/>
  </r>
  <r>
    <n v="1779"/>
    <n v="767"/>
    <x v="432"/>
    <n v="489.88"/>
    <x v="7"/>
    <x v="6"/>
    <n v="2"/>
    <s v="2024-Aug"/>
    <n v="1"/>
    <n v="2024"/>
    <n v="8"/>
  </r>
  <r>
    <n v="1739"/>
    <n v="971"/>
    <x v="432"/>
    <n v="36.92"/>
    <x v="3"/>
    <x v="6"/>
    <n v="1"/>
    <s v="2024-Aug"/>
    <n v="0"/>
    <n v="2024"/>
    <n v="8"/>
  </r>
  <r>
    <n v="1393"/>
    <n v="750"/>
    <x v="433"/>
    <n v="28.02"/>
    <x v="7"/>
    <x v="4"/>
    <n v="1"/>
    <s v="2024-Aug"/>
    <n v="0"/>
    <n v="2024"/>
    <n v="8"/>
  </r>
  <r>
    <n v="1934"/>
    <n v="897"/>
    <x v="434"/>
    <n v="371.14"/>
    <x v="7"/>
    <x v="4"/>
    <n v="2"/>
    <s v="2024-Aug"/>
    <n v="1"/>
    <n v="2024"/>
    <n v="8"/>
  </r>
  <r>
    <n v="1951"/>
    <n v="281"/>
    <x v="435"/>
    <n v="397.74"/>
    <x v="3"/>
    <x v="6"/>
    <n v="1"/>
    <s v="2024-Aug"/>
    <n v="0"/>
    <n v="2024"/>
    <n v="8"/>
  </r>
  <r>
    <n v="1263"/>
    <n v="575"/>
    <x v="435"/>
    <n v="82.54"/>
    <x v="4"/>
    <x v="3"/>
    <n v="1"/>
    <s v="2024-Aug"/>
    <n v="0"/>
    <n v="2024"/>
    <n v="8"/>
  </r>
  <r>
    <n v="1166"/>
    <n v="877"/>
    <x v="436"/>
    <n v="486.86"/>
    <x v="7"/>
    <x v="4"/>
    <n v="2"/>
    <s v="2024-Aug"/>
    <n v="1"/>
    <n v="2024"/>
    <n v="8"/>
  </r>
  <r>
    <n v="1157"/>
    <n v="468"/>
    <x v="437"/>
    <n v="120.16"/>
    <x v="7"/>
    <x v="4"/>
    <n v="1"/>
    <s v="2024-Aug"/>
    <n v="0"/>
    <n v="2024"/>
    <n v="8"/>
  </r>
  <r>
    <n v="1928"/>
    <n v="978"/>
    <x v="438"/>
    <n v="268"/>
    <x v="4"/>
    <x v="1"/>
    <n v="5"/>
    <s v="2024-Aug"/>
    <n v="1"/>
    <n v="2024"/>
    <n v="8"/>
  </r>
  <r>
    <n v="1452"/>
    <n v="655"/>
    <x v="439"/>
    <n v="391.3"/>
    <x v="6"/>
    <x v="4"/>
    <n v="3"/>
    <s v="2024-Aug"/>
    <n v="1"/>
    <n v="2024"/>
    <n v="8"/>
  </r>
  <r>
    <n v="1775"/>
    <n v="541"/>
    <x v="440"/>
    <n v="196.86"/>
    <x v="0"/>
    <x v="4"/>
    <n v="4"/>
    <s v="2024-Aug"/>
    <n v="1"/>
    <n v="2024"/>
    <n v="8"/>
  </r>
  <r>
    <n v="1214"/>
    <n v="828"/>
    <x v="440"/>
    <n v="201.7"/>
    <x v="2"/>
    <x v="2"/>
    <n v="2"/>
    <s v="2024-Aug"/>
    <n v="0"/>
    <n v="2024"/>
    <n v="8"/>
  </r>
  <r>
    <n v="1015"/>
    <n v="685"/>
    <x v="441"/>
    <n v="262.55"/>
    <x v="7"/>
    <x v="6"/>
    <n v="1"/>
    <s v="2024-Aug"/>
    <n v="0"/>
    <n v="2024"/>
    <n v="8"/>
  </r>
  <r>
    <n v="1553"/>
    <n v="191"/>
    <x v="442"/>
    <n v="416.28"/>
    <x v="5"/>
    <x v="2"/>
    <n v="1"/>
    <s v="2024-Aug"/>
    <n v="0"/>
    <n v="2024"/>
    <n v="8"/>
  </r>
  <r>
    <n v="1471"/>
    <n v="265"/>
    <x v="443"/>
    <n v="263.93"/>
    <x v="5"/>
    <x v="2"/>
    <n v="2"/>
    <s v="2024-Aug"/>
    <n v="0"/>
    <n v="2024"/>
    <n v="8"/>
  </r>
  <r>
    <n v="1819"/>
    <n v="342"/>
    <x v="444"/>
    <n v="175.06"/>
    <x v="7"/>
    <x v="4"/>
    <n v="2"/>
    <s v="2024-Aug"/>
    <n v="1"/>
    <n v="2024"/>
    <n v="8"/>
  </r>
  <r>
    <n v="1052"/>
    <n v="576"/>
    <x v="445"/>
    <n v="26.65"/>
    <x v="1"/>
    <x v="5"/>
    <n v="3"/>
    <s v="2024-Aug"/>
    <n v="1"/>
    <n v="2024"/>
    <n v="8"/>
  </r>
  <r>
    <n v="1683"/>
    <n v="298"/>
    <x v="446"/>
    <n v="453.42"/>
    <x v="2"/>
    <x v="5"/>
    <n v="3"/>
    <s v="2024-Aug"/>
    <n v="1"/>
    <n v="2024"/>
    <n v="8"/>
  </r>
  <r>
    <n v="1800"/>
    <n v="418"/>
    <x v="447"/>
    <n v="81.13"/>
    <x v="3"/>
    <x v="2"/>
    <n v="1"/>
    <s v="2024-Aug"/>
    <n v="0"/>
    <n v="2024"/>
    <n v="8"/>
  </r>
  <r>
    <n v="1397"/>
    <n v="823"/>
    <x v="447"/>
    <n v="144.80000000000001"/>
    <x v="1"/>
    <x v="1"/>
    <n v="3"/>
    <s v="2024-Aug"/>
    <n v="1"/>
    <n v="2024"/>
    <n v="8"/>
  </r>
  <r>
    <n v="1461"/>
    <n v="111"/>
    <x v="448"/>
    <n v="209.45"/>
    <x v="5"/>
    <x v="0"/>
    <n v="2"/>
    <s v="2024-Aug"/>
    <n v="1"/>
    <n v="2024"/>
    <n v="8"/>
  </r>
  <r>
    <n v="1627"/>
    <n v="389"/>
    <x v="448"/>
    <n v="36.24"/>
    <x v="5"/>
    <x v="2"/>
    <n v="2"/>
    <s v="2024-Aug"/>
    <n v="1"/>
    <n v="2024"/>
    <n v="8"/>
  </r>
  <r>
    <n v="1569"/>
    <n v="500"/>
    <x v="448"/>
    <n v="252.17"/>
    <x v="1"/>
    <x v="3"/>
    <n v="2"/>
    <s v="2024-Aug"/>
    <n v="1"/>
    <n v="2024"/>
    <n v="8"/>
  </r>
  <r>
    <n v="1357"/>
    <n v="953"/>
    <x v="448"/>
    <n v="312.57"/>
    <x v="3"/>
    <x v="0"/>
    <n v="1"/>
    <s v="2024-Aug"/>
    <n v="0"/>
    <n v="2024"/>
    <n v="8"/>
  </r>
  <r>
    <n v="1958"/>
    <n v="975"/>
    <x v="449"/>
    <n v="173.5"/>
    <x v="0"/>
    <x v="1"/>
    <n v="2"/>
    <s v="2024-Aug"/>
    <n v="1"/>
    <n v="2024"/>
    <n v="8"/>
  </r>
  <r>
    <n v="1797"/>
    <n v="229"/>
    <x v="450"/>
    <n v="300.26"/>
    <x v="7"/>
    <x v="5"/>
    <n v="4"/>
    <s v="2024-Aug"/>
    <n v="1"/>
    <n v="2024"/>
    <n v="8"/>
  </r>
  <r>
    <n v="1563"/>
    <n v="272"/>
    <x v="450"/>
    <n v="202.95"/>
    <x v="5"/>
    <x v="1"/>
    <n v="3"/>
    <s v="2024-Aug"/>
    <n v="1"/>
    <n v="2024"/>
    <n v="8"/>
  </r>
  <r>
    <n v="1838"/>
    <n v="213"/>
    <x v="451"/>
    <n v="383.77"/>
    <x v="4"/>
    <x v="4"/>
    <n v="2"/>
    <s v="2024-Aug"/>
    <n v="1"/>
    <n v="2024"/>
    <n v="8"/>
  </r>
  <r>
    <n v="1753"/>
    <n v="723"/>
    <x v="452"/>
    <n v="354.48"/>
    <x v="3"/>
    <x v="3"/>
    <n v="2"/>
    <s v="2024-Aug"/>
    <n v="1"/>
    <n v="2024"/>
    <n v="8"/>
  </r>
  <r>
    <n v="1565"/>
    <n v="499"/>
    <x v="453"/>
    <n v="324.81"/>
    <x v="4"/>
    <x v="3"/>
    <n v="4"/>
    <s v="2024-Aug"/>
    <n v="1"/>
    <n v="2024"/>
    <n v="8"/>
  </r>
  <r>
    <n v="1458"/>
    <n v="14"/>
    <x v="454"/>
    <n v="375.84"/>
    <x v="2"/>
    <x v="5"/>
    <n v="1"/>
    <s v="2024-Sep"/>
    <n v="0"/>
    <n v="2024"/>
    <n v="9"/>
  </r>
  <r>
    <n v="1313"/>
    <n v="563"/>
    <x v="454"/>
    <n v="39.28"/>
    <x v="3"/>
    <x v="1"/>
    <n v="2"/>
    <s v="2024-Sep"/>
    <n v="1"/>
    <n v="2024"/>
    <n v="9"/>
  </r>
  <r>
    <n v="1876"/>
    <n v="583"/>
    <x v="454"/>
    <n v="86.02"/>
    <x v="5"/>
    <x v="3"/>
    <n v="1"/>
    <s v="2024-Sep"/>
    <n v="0"/>
    <n v="2024"/>
    <n v="9"/>
  </r>
  <r>
    <n v="1505"/>
    <n v="801"/>
    <x v="454"/>
    <n v="60.41"/>
    <x v="1"/>
    <x v="0"/>
    <n v="3"/>
    <s v="2024-Sep"/>
    <n v="1"/>
    <n v="2024"/>
    <n v="9"/>
  </r>
  <r>
    <n v="1690"/>
    <n v="194"/>
    <x v="455"/>
    <n v="60.99"/>
    <x v="0"/>
    <x v="4"/>
    <n v="2"/>
    <s v="2024-Sep"/>
    <n v="1"/>
    <n v="2024"/>
    <n v="9"/>
  </r>
  <r>
    <n v="1112"/>
    <n v="268"/>
    <x v="455"/>
    <n v="268.47000000000003"/>
    <x v="7"/>
    <x v="4"/>
    <n v="3"/>
    <s v="2024-Sep"/>
    <n v="1"/>
    <n v="2024"/>
    <n v="9"/>
  </r>
  <r>
    <n v="1253"/>
    <n v="397"/>
    <x v="455"/>
    <n v="413.52"/>
    <x v="5"/>
    <x v="5"/>
    <n v="3"/>
    <s v="2024-Sep"/>
    <n v="1"/>
    <n v="2024"/>
    <n v="9"/>
  </r>
  <r>
    <n v="1284"/>
    <n v="647"/>
    <x v="455"/>
    <n v="340.8"/>
    <x v="2"/>
    <x v="4"/>
    <n v="2"/>
    <s v="2024-Sep"/>
    <n v="1"/>
    <n v="2024"/>
    <n v="9"/>
  </r>
  <r>
    <n v="1987"/>
    <n v="691"/>
    <x v="456"/>
    <n v="35.96"/>
    <x v="6"/>
    <x v="1"/>
    <n v="2"/>
    <s v="2024-Sep"/>
    <n v="1"/>
    <n v="2024"/>
    <n v="9"/>
  </r>
  <r>
    <n v="1835"/>
    <n v="304"/>
    <x v="457"/>
    <n v="426.33"/>
    <x v="0"/>
    <x v="4"/>
    <n v="1"/>
    <s v="2024-Sep"/>
    <n v="0"/>
    <n v="2024"/>
    <n v="9"/>
  </r>
  <r>
    <n v="1197"/>
    <n v="316"/>
    <x v="457"/>
    <n v="159.57"/>
    <x v="0"/>
    <x v="3"/>
    <n v="1"/>
    <s v="2024-Sep"/>
    <n v="0"/>
    <n v="2024"/>
    <n v="9"/>
  </r>
  <r>
    <n v="1098"/>
    <n v="378"/>
    <x v="457"/>
    <n v="369.9"/>
    <x v="2"/>
    <x v="2"/>
    <n v="7"/>
    <s v="2024-Sep"/>
    <n v="1"/>
    <n v="2024"/>
    <n v="9"/>
  </r>
  <r>
    <n v="1207"/>
    <n v="381"/>
    <x v="457"/>
    <n v="337.42"/>
    <x v="3"/>
    <x v="1"/>
    <n v="1"/>
    <s v="2024-Sep"/>
    <n v="0"/>
    <n v="2024"/>
    <n v="9"/>
  </r>
  <r>
    <n v="1703"/>
    <n v="633"/>
    <x v="457"/>
    <n v="158.91"/>
    <x v="3"/>
    <x v="1"/>
    <n v="2"/>
    <s v="2024-Sep"/>
    <n v="1"/>
    <n v="2024"/>
    <n v="9"/>
  </r>
  <r>
    <n v="1143"/>
    <n v="803"/>
    <x v="458"/>
    <n v="489.14"/>
    <x v="2"/>
    <x v="4"/>
    <n v="4"/>
    <s v="2024-Sep"/>
    <n v="1"/>
    <n v="2024"/>
    <n v="9"/>
  </r>
  <r>
    <n v="1663"/>
    <n v="696"/>
    <x v="459"/>
    <n v="90.87"/>
    <x v="4"/>
    <x v="2"/>
    <n v="4"/>
    <s v="2024-Sep"/>
    <n v="1"/>
    <n v="2024"/>
    <n v="9"/>
  </r>
  <r>
    <n v="1509"/>
    <n v="400"/>
    <x v="460"/>
    <n v="437.3"/>
    <x v="2"/>
    <x v="2"/>
    <n v="2"/>
    <s v="2024-Sep"/>
    <n v="1"/>
    <n v="2024"/>
    <n v="9"/>
  </r>
  <r>
    <n v="1839"/>
    <n v="157"/>
    <x v="461"/>
    <n v="116.23"/>
    <x v="0"/>
    <x v="6"/>
    <n v="1"/>
    <s v="2024-Sep"/>
    <n v="0"/>
    <n v="2024"/>
    <n v="9"/>
  </r>
  <r>
    <n v="1014"/>
    <n v="189"/>
    <x v="461"/>
    <n v="13.67"/>
    <x v="5"/>
    <x v="6"/>
    <n v="2"/>
    <s v="2024-Sep"/>
    <n v="1"/>
    <n v="2024"/>
    <n v="9"/>
  </r>
  <r>
    <n v="1348"/>
    <n v="328"/>
    <x v="461"/>
    <n v="225.67"/>
    <x v="5"/>
    <x v="4"/>
    <n v="2"/>
    <s v="2024-Sep"/>
    <n v="1"/>
    <n v="2024"/>
    <n v="9"/>
  </r>
  <r>
    <n v="1815"/>
    <n v="380"/>
    <x v="461"/>
    <n v="125.61"/>
    <x v="2"/>
    <x v="2"/>
    <n v="4"/>
    <s v="2024-Sep"/>
    <n v="1"/>
    <n v="2024"/>
    <n v="9"/>
  </r>
  <r>
    <n v="1116"/>
    <n v="609"/>
    <x v="461"/>
    <n v="50.48"/>
    <x v="4"/>
    <x v="2"/>
    <n v="2"/>
    <s v="2024-Sep"/>
    <n v="1"/>
    <n v="2024"/>
    <n v="9"/>
  </r>
  <r>
    <n v="1243"/>
    <n v="55"/>
    <x v="462"/>
    <n v="25.17"/>
    <x v="3"/>
    <x v="0"/>
    <n v="1"/>
    <s v="2024-Sep"/>
    <n v="0"/>
    <n v="2024"/>
    <n v="9"/>
  </r>
  <r>
    <n v="1170"/>
    <n v="208"/>
    <x v="462"/>
    <n v="377.45"/>
    <x v="6"/>
    <x v="0"/>
    <n v="1"/>
    <s v="2024-Sep"/>
    <n v="0"/>
    <n v="2024"/>
    <n v="9"/>
  </r>
  <r>
    <n v="1810"/>
    <n v="520"/>
    <x v="462"/>
    <n v="130.26"/>
    <x v="6"/>
    <x v="2"/>
    <n v="1"/>
    <s v="2024-Sep"/>
    <n v="0"/>
    <n v="2024"/>
    <n v="9"/>
  </r>
  <r>
    <n v="1128"/>
    <n v="138"/>
    <x v="463"/>
    <n v="474.55"/>
    <x v="5"/>
    <x v="0"/>
    <n v="1"/>
    <s v="2024-Sep"/>
    <n v="0"/>
    <n v="2024"/>
    <n v="9"/>
  </r>
  <r>
    <n v="1763"/>
    <n v="362"/>
    <x v="464"/>
    <n v="48.94"/>
    <x v="1"/>
    <x v="4"/>
    <n v="4"/>
    <s v="2024-Sep"/>
    <n v="1"/>
    <n v="2024"/>
    <n v="9"/>
  </r>
  <r>
    <n v="1571"/>
    <n v="577"/>
    <x v="465"/>
    <n v="59.85"/>
    <x v="3"/>
    <x v="0"/>
    <n v="2"/>
    <s v="2024-Sep"/>
    <n v="0"/>
    <n v="2024"/>
    <n v="9"/>
  </r>
  <r>
    <n v="1658"/>
    <n v="679"/>
    <x v="465"/>
    <n v="78.75"/>
    <x v="4"/>
    <x v="1"/>
    <n v="5"/>
    <s v="2024-Sep"/>
    <n v="1"/>
    <n v="2024"/>
    <n v="9"/>
  </r>
  <r>
    <n v="1282"/>
    <n v="446"/>
    <x v="466"/>
    <n v="5.16"/>
    <x v="3"/>
    <x v="0"/>
    <n v="2"/>
    <s v="2024-Sep"/>
    <n v="1"/>
    <n v="2024"/>
    <n v="9"/>
  </r>
  <r>
    <n v="1573"/>
    <n v="164"/>
    <x v="467"/>
    <n v="242.55"/>
    <x v="4"/>
    <x v="5"/>
    <n v="2"/>
    <s v="2024-Sep"/>
    <n v="1"/>
    <n v="2024"/>
    <n v="9"/>
  </r>
  <r>
    <n v="1399"/>
    <n v="543"/>
    <x v="468"/>
    <n v="495.84"/>
    <x v="1"/>
    <x v="6"/>
    <n v="1"/>
    <s v="2024-Sep"/>
    <n v="0"/>
    <n v="2024"/>
    <n v="9"/>
  </r>
  <r>
    <n v="1269"/>
    <n v="106"/>
    <x v="469"/>
    <n v="205.63"/>
    <x v="3"/>
    <x v="6"/>
    <n v="1"/>
    <s v="2024-Sep"/>
    <n v="0"/>
    <n v="2024"/>
    <n v="9"/>
  </r>
  <r>
    <n v="1822"/>
    <n v="589"/>
    <x v="469"/>
    <n v="496.25"/>
    <x v="3"/>
    <x v="6"/>
    <n v="1"/>
    <s v="2024-Sep"/>
    <n v="0"/>
    <n v="2024"/>
    <n v="9"/>
  </r>
  <r>
    <n v="1935"/>
    <n v="345"/>
    <x v="470"/>
    <n v="416.77"/>
    <x v="3"/>
    <x v="5"/>
    <n v="2"/>
    <s v="2024-Sep"/>
    <n v="1"/>
    <n v="2024"/>
    <n v="9"/>
  </r>
  <r>
    <n v="1068"/>
    <n v="805"/>
    <x v="470"/>
    <n v="251.14"/>
    <x v="4"/>
    <x v="3"/>
    <n v="2"/>
    <s v="2024-Sep"/>
    <n v="1"/>
    <n v="2024"/>
    <n v="9"/>
  </r>
  <r>
    <n v="1183"/>
    <n v="307"/>
    <x v="471"/>
    <n v="384.49"/>
    <x v="3"/>
    <x v="2"/>
    <n v="1"/>
    <s v="2024-Sep"/>
    <n v="0"/>
    <n v="2024"/>
    <n v="9"/>
  </r>
  <r>
    <n v="1138"/>
    <n v="142"/>
    <x v="472"/>
    <n v="304.74"/>
    <x v="4"/>
    <x v="2"/>
    <n v="1"/>
    <s v="2024-Sep"/>
    <n v="0"/>
    <n v="2024"/>
    <n v="9"/>
  </r>
  <r>
    <n v="1134"/>
    <n v="426"/>
    <x v="473"/>
    <n v="305.14999999999998"/>
    <x v="5"/>
    <x v="4"/>
    <n v="2"/>
    <s v="2024-Oct"/>
    <n v="1"/>
    <n v="2024"/>
    <n v="10"/>
  </r>
  <r>
    <n v="1271"/>
    <n v="630"/>
    <x v="474"/>
    <n v="101.01"/>
    <x v="5"/>
    <x v="4"/>
    <n v="1"/>
    <s v="2024-Oct"/>
    <n v="0"/>
    <n v="2024"/>
    <n v="10"/>
  </r>
  <r>
    <n v="1607"/>
    <n v="264"/>
    <x v="475"/>
    <n v="310.58999999999997"/>
    <x v="2"/>
    <x v="0"/>
    <n v="2"/>
    <s v="2024-Oct"/>
    <n v="1"/>
    <n v="2024"/>
    <n v="10"/>
  </r>
  <r>
    <n v="1301"/>
    <n v="480"/>
    <x v="476"/>
    <n v="92.56"/>
    <x v="4"/>
    <x v="6"/>
    <n v="2"/>
    <s v="2024-Oct"/>
    <n v="1"/>
    <n v="2024"/>
    <n v="10"/>
  </r>
  <r>
    <n v="1279"/>
    <n v="477"/>
    <x v="477"/>
    <n v="180.35"/>
    <x v="2"/>
    <x v="5"/>
    <n v="2"/>
    <s v="2024-Oct"/>
    <n v="0"/>
    <n v="2024"/>
    <n v="10"/>
  </r>
  <r>
    <n v="1308"/>
    <n v="22"/>
    <x v="478"/>
    <n v="389.02"/>
    <x v="5"/>
    <x v="6"/>
    <n v="1"/>
    <s v="2024-Oct"/>
    <n v="0"/>
    <n v="2024"/>
    <n v="10"/>
  </r>
  <r>
    <n v="1724"/>
    <n v="116"/>
    <x v="478"/>
    <n v="298.49"/>
    <x v="2"/>
    <x v="5"/>
    <n v="1"/>
    <s v="2024-Oct"/>
    <n v="0"/>
    <n v="2024"/>
    <n v="10"/>
  </r>
  <r>
    <n v="1384"/>
    <n v="239"/>
    <x v="478"/>
    <n v="475.98"/>
    <x v="3"/>
    <x v="4"/>
    <n v="2"/>
    <s v="2024-Oct"/>
    <n v="1"/>
    <n v="2024"/>
    <n v="10"/>
  </r>
  <r>
    <n v="1555"/>
    <n v="227"/>
    <x v="479"/>
    <n v="193.31"/>
    <x v="5"/>
    <x v="2"/>
    <n v="4"/>
    <s v="2024-Oct"/>
    <n v="1"/>
    <n v="2024"/>
    <n v="10"/>
  </r>
  <r>
    <n v="1751"/>
    <n v="320"/>
    <x v="479"/>
    <n v="132.16"/>
    <x v="6"/>
    <x v="4"/>
    <n v="2"/>
    <s v="2024-Oct"/>
    <n v="1"/>
    <n v="2024"/>
    <n v="10"/>
  </r>
  <r>
    <n v="1195"/>
    <n v="581"/>
    <x v="479"/>
    <n v="277.3"/>
    <x v="1"/>
    <x v="0"/>
    <n v="2"/>
    <s v="2024-Oct"/>
    <n v="1"/>
    <n v="2024"/>
    <n v="10"/>
  </r>
  <r>
    <n v="1658"/>
    <n v="929"/>
    <x v="479"/>
    <n v="449.93"/>
    <x v="0"/>
    <x v="1"/>
    <n v="5"/>
    <s v="2024-Oct"/>
    <n v="1"/>
    <n v="2024"/>
    <n v="10"/>
  </r>
  <r>
    <n v="1952"/>
    <n v="353"/>
    <x v="480"/>
    <n v="231.15"/>
    <x v="1"/>
    <x v="3"/>
    <n v="3"/>
    <s v="2024-Oct"/>
    <n v="1"/>
    <n v="2024"/>
    <n v="10"/>
  </r>
  <r>
    <n v="1395"/>
    <n v="807"/>
    <x v="481"/>
    <n v="436.71"/>
    <x v="5"/>
    <x v="5"/>
    <n v="2"/>
    <s v="2024-Oct"/>
    <n v="1"/>
    <n v="2024"/>
    <n v="10"/>
  </r>
  <r>
    <n v="1974"/>
    <n v="260"/>
    <x v="482"/>
    <n v="102.59"/>
    <x v="0"/>
    <x v="4"/>
    <n v="1"/>
    <s v="2024-Oct"/>
    <n v="0"/>
    <n v="2024"/>
    <n v="10"/>
  </r>
  <r>
    <n v="1455"/>
    <n v="250"/>
    <x v="483"/>
    <n v="374.7"/>
    <x v="6"/>
    <x v="3"/>
    <n v="3"/>
    <s v="2024-Oct"/>
    <n v="1"/>
    <n v="2024"/>
    <n v="10"/>
  </r>
  <r>
    <n v="1356"/>
    <n v="667"/>
    <x v="484"/>
    <n v="257.5"/>
    <x v="3"/>
    <x v="6"/>
    <n v="1"/>
    <s v="2024-Oct"/>
    <n v="0"/>
    <n v="2024"/>
    <n v="10"/>
  </r>
  <r>
    <n v="1501"/>
    <n v="974"/>
    <x v="485"/>
    <n v="168.55"/>
    <x v="5"/>
    <x v="2"/>
    <n v="1"/>
    <s v="2024-Oct"/>
    <n v="0"/>
    <n v="2024"/>
    <n v="10"/>
  </r>
  <r>
    <n v="1372"/>
    <n v="957"/>
    <x v="486"/>
    <n v="319.37"/>
    <x v="1"/>
    <x v="5"/>
    <n v="4"/>
    <s v="2024-Oct"/>
    <n v="1"/>
    <n v="2024"/>
    <n v="10"/>
  </r>
  <r>
    <n v="1571"/>
    <n v="366"/>
    <x v="487"/>
    <n v="89.39"/>
    <x v="3"/>
    <x v="5"/>
    <n v="2"/>
    <s v="2024-Oct"/>
    <n v="1"/>
    <n v="2024"/>
    <n v="10"/>
  </r>
  <r>
    <n v="1368"/>
    <n v="768"/>
    <x v="487"/>
    <n v="76.760000000000005"/>
    <x v="5"/>
    <x v="6"/>
    <n v="2"/>
    <s v="2024-Oct"/>
    <n v="1"/>
    <n v="2024"/>
    <n v="10"/>
  </r>
  <r>
    <n v="1895"/>
    <n v="406"/>
    <x v="488"/>
    <n v="253.07"/>
    <x v="6"/>
    <x v="0"/>
    <n v="3"/>
    <s v="2024-Oct"/>
    <n v="1"/>
    <n v="2024"/>
    <n v="10"/>
  </r>
  <r>
    <n v="1217"/>
    <n v="658"/>
    <x v="488"/>
    <n v="333.21"/>
    <x v="2"/>
    <x v="2"/>
    <n v="2"/>
    <s v="2024-Oct"/>
    <n v="1"/>
    <n v="2024"/>
    <n v="10"/>
  </r>
  <r>
    <n v="1406"/>
    <n v="204"/>
    <x v="489"/>
    <n v="304.45"/>
    <x v="7"/>
    <x v="6"/>
    <n v="2"/>
    <s v="2024-Oct"/>
    <n v="1"/>
    <n v="2024"/>
    <n v="10"/>
  </r>
  <r>
    <n v="1021"/>
    <n v="437"/>
    <x v="489"/>
    <n v="120.11"/>
    <x v="0"/>
    <x v="2"/>
    <n v="2"/>
    <s v="2024-Oct"/>
    <n v="0"/>
    <n v="2024"/>
    <n v="10"/>
  </r>
  <r>
    <n v="1389"/>
    <n v="92"/>
    <x v="490"/>
    <n v="19.55"/>
    <x v="7"/>
    <x v="2"/>
    <n v="2"/>
    <s v="2024-Oct"/>
    <n v="1"/>
    <n v="2024"/>
    <n v="10"/>
  </r>
  <r>
    <n v="1698"/>
    <n v="214"/>
    <x v="491"/>
    <n v="463.21"/>
    <x v="4"/>
    <x v="1"/>
    <n v="3"/>
    <s v="2024-Oct"/>
    <n v="1"/>
    <n v="2024"/>
    <n v="10"/>
  </r>
  <r>
    <n v="1639"/>
    <n v="429"/>
    <x v="491"/>
    <n v="415.52"/>
    <x v="1"/>
    <x v="6"/>
    <n v="3"/>
    <s v="2024-Oct"/>
    <n v="1"/>
    <n v="2024"/>
    <n v="10"/>
  </r>
  <r>
    <n v="1829"/>
    <n v="610"/>
    <x v="491"/>
    <n v="482.74"/>
    <x v="2"/>
    <x v="3"/>
    <n v="2"/>
    <s v="2024-Oct"/>
    <n v="1"/>
    <n v="2024"/>
    <n v="10"/>
  </r>
  <r>
    <n v="1279"/>
    <n v="312"/>
    <x v="492"/>
    <n v="435.28"/>
    <x v="3"/>
    <x v="3"/>
    <n v="2"/>
    <s v="2024-Oct"/>
    <n v="0"/>
    <n v="2024"/>
    <n v="10"/>
  </r>
  <r>
    <n v="1760"/>
    <n v="748"/>
    <x v="492"/>
    <n v="82.41"/>
    <x v="5"/>
    <x v="2"/>
    <n v="1"/>
    <s v="2024-Oct"/>
    <n v="0"/>
    <n v="2024"/>
    <n v="10"/>
  </r>
  <r>
    <n v="1489"/>
    <n v="151"/>
    <x v="493"/>
    <n v="21.92"/>
    <x v="2"/>
    <x v="5"/>
    <n v="2"/>
    <s v="2024-Oct"/>
    <n v="1"/>
    <n v="2024"/>
    <n v="10"/>
  </r>
  <r>
    <n v="1680"/>
    <n v="414"/>
    <x v="493"/>
    <n v="109.93"/>
    <x v="7"/>
    <x v="0"/>
    <n v="1"/>
    <s v="2024-Oct"/>
    <n v="0"/>
    <n v="2024"/>
    <n v="10"/>
  </r>
  <r>
    <n v="1749"/>
    <n v="438"/>
    <x v="493"/>
    <n v="44.58"/>
    <x v="2"/>
    <x v="5"/>
    <n v="2"/>
    <s v="2024-Oct"/>
    <n v="1"/>
    <n v="2024"/>
    <n v="10"/>
  </r>
  <r>
    <n v="1574"/>
    <n v="559"/>
    <x v="493"/>
    <n v="335.34"/>
    <x v="7"/>
    <x v="6"/>
    <n v="2"/>
    <s v="2024-Oct"/>
    <n v="1"/>
    <n v="2024"/>
    <n v="10"/>
  </r>
  <r>
    <n v="1161"/>
    <n v="102"/>
    <x v="494"/>
    <n v="235.58"/>
    <x v="5"/>
    <x v="0"/>
    <n v="1"/>
    <s v="2024-Oct"/>
    <n v="0"/>
    <n v="2024"/>
    <n v="10"/>
  </r>
  <r>
    <n v="1364"/>
    <n v="859"/>
    <x v="494"/>
    <n v="63.23"/>
    <x v="2"/>
    <x v="5"/>
    <n v="2"/>
    <s v="2024-Oct"/>
    <n v="1"/>
    <n v="2024"/>
    <n v="10"/>
  </r>
  <r>
    <n v="1125"/>
    <n v="883"/>
    <x v="494"/>
    <n v="494.09"/>
    <x v="1"/>
    <x v="4"/>
    <n v="1"/>
    <s v="2024-Oct"/>
    <n v="0"/>
    <n v="2024"/>
    <n v="10"/>
  </r>
  <r>
    <n v="1770"/>
    <n v="329"/>
    <x v="495"/>
    <n v="363.64"/>
    <x v="6"/>
    <x v="3"/>
    <n v="1"/>
    <s v="2024-Oct"/>
    <n v="0"/>
    <n v="2024"/>
    <n v="10"/>
  </r>
  <r>
    <n v="1815"/>
    <n v="458"/>
    <x v="496"/>
    <n v="218.02"/>
    <x v="1"/>
    <x v="2"/>
    <n v="4"/>
    <s v="2024-Oct"/>
    <n v="1"/>
    <n v="2024"/>
    <n v="10"/>
  </r>
  <r>
    <n v="1375"/>
    <n v="744"/>
    <x v="496"/>
    <n v="188.75"/>
    <x v="4"/>
    <x v="3"/>
    <n v="1"/>
    <s v="2024-Oct"/>
    <n v="0"/>
    <n v="2024"/>
    <n v="10"/>
  </r>
  <r>
    <n v="1414"/>
    <n v="872"/>
    <x v="496"/>
    <n v="51.05"/>
    <x v="2"/>
    <x v="5"/>
    <n v="3"/>
    <s v="2024-Oct"/>
    <n v="1"/>
    <n v="2024"/>
    <n v="10"/>
  </r>
  <r>
    <n v="1957"/>
    <n v="104"/>
    <x v="497"/>
    <n v="121.72"/>
    <x v="3"/>
    <x v="0"/>
    <n v="6"/>
    <s v="2024-Nov"/>
    <n v="1"/>
    <n v="2024"/>
    <n v="11"/>
  </r>
  <r>
    <n v="1803"/>
    <n v="869"/>
    <x v="497"/>
    <n v="329.79"/>
    <x v="6"/>
    <x v="5"/>
    <n v="1"/>
    <s v="2024-Nov"/>
    <n v="0"/>
    <n v="2024"/>
    <n v="11"/>
  </r>
  <r>
    <n v="1818"/>
    <n v="256"/>
    <x v="498"/>
    <n v="40.28"/>
    <x v="7"/>
    <x v="5"/>
    <n v="2"/>
    <s v="2024-Nov"/>
    <n v="1"/>
    <n v="2024"/>
    <n v="11"/>
  </r>
  <r>
    <n v="1784"/>
    <n v="516"/>
    <x v="498"/>
    <n v="405.4"/>
    <x v="3"/>
    <x v="6"/>
    <n v="1"/>
    <s v="2024-Nov"/>
    <n v="0"/>
    <n v="2024"/>
    <n v="11"/>
  </r>
  <r>
    <n v="1975"/>
    <n v="46"/>
    <x v="499"/>
    <n v="314.52999999999997"/>
    <x v="0"/>
    <x v="1"/>
    <n v="1"/>
    <s v="2024-Nov"/>
    <n v="0"/>
    <n v="2024"/>
    <n v="11"/>
  </r>
  <r>
    <n v="1475"/>
    <n v="892"/>
    <x v="500"/>
    <n v="60.91"/>
    <x v="1"/>
    <x v="2"/>
    <n v="2"/>
    <s v="2024-Nov"/>
    <n v="1"/>
    <n v="2024"/>
    <n v="11"/>
  </r>
  <r>
    <n v="1786"/>
    <n v="602"/>
    <x v="501"/>
    <n v="163.43"/>
    <x v="2"/>
    <x v="4"/>
    <n v="2"/>
    <s v="2024-Nov"/>
    <n v="1"/>
    <n v="2024"/>
    <n v="11"/>
  </r>
  <r>
    <n v="1885"/>
    <n v="922"/>
    <x v="501"/>
    <n v="382.76"/>
    <x v="7"/>
    <x v="6"/>
    <n v="2"/>
    <s v="2024-Nov"/>
    <n v="1"/>
    <n v="2024"/>
    <n v="11"/>
  </r>
  <r>
    <n v="1413"/>
    <n v="26"/>
    <x v="502"/>
    <n v="441.85"/>
    <x v="6"/>
    <x v="5"/>
    <n v="1"/>
    <s v="2024-Nov"/>
    <n v="0"/>
    <n v="2024"/>
    <n v="11"/>
  </r>
  <r>
    <n v="1443"/>
    <n v="572"/>
    <x v="502"/>
    <n v="460.55"/>
    <x v="0"/>
    <x v="5"/>
    <n v="1"/>
    <s v="2024-Nov"/>
    <n v="0"/>
    <n v="2024"/>
    <n v="11"/>
  </r>
  <r>
    <n v="1036"/>
    <n v="476"/>
    <x v="503"/>
    <n v="328.77"/>
    <x v="6"/>
    <x v="0"/>
    <n v="3"/>
    <s v="2024-Nov"/>
    <n v="1"/>
    <n v="2024"/>
    <n v="11"/>
  </r>
  <r>
    <n v="1009"/>
    <n v="996"/>
    <x v="503"/>
    <n v="348.75"/>
    <x v="6"/>
    <x v="6"/>
    <n v="1"/>
    <s v="2024-Nov"/>
    <n v="0"/>
    <n v="2024"/>
    <n v="11"/>
  </r>
  <r>
    <n v="1193"/>
    <n v="851"/>
    <x v="504"/>
    <n v="21.52"/>
    <x v="1"/>
    <x v="1"/>
    <n v="1"/>
    <s v="2024-Nov"/>
    <n v="0"/>
    <n v="2024"/>
    <n v="11"/>
  </r>
  <r>
    <n v="1726"/>
    <n v="112"/>
    <x v="505"/>
    <n v="39.22"/>
    <x v="7"/>
    <x v="6"/>
    <n v="3"/>
    <s v="2024-Nov"/>
    <n v="1"/>
    <n v="2024"/>
    <n v="11"/>
  </r>
  <r>
    <n v="1130"/>
    <n v="382"/>
    <x v="506"/>
    <n v="51"/>
    <x v="4"/>
    <x v="6"/>
    <n v="3"/>
    <s v="2024-Nov"/>
    <n v="1"/>
    <n v="2024"/>
    <n v="11"/>
  </r>
  <r>
    <n v="1021"/>
    <n v="35"/>
    <x v="507"/>
    <n v="25.39"/>
    <x v="1"/>
    <x v="2"/>
    <n v="2"/>
    <s v="2024-Nov"/>
    <n v="1"/>
    <n v="2024"/>
    <n v="11"/>
  </r>
  <r>
    <n v="1989"/>
    <n v="358"/>
    <x v="507"/>
    <n v="497.76"/>
    <x v="7"/>
    <x v="0"/>
    <n v="1"/>
    <s v="2024-Nov"/>
    <n v="0"/>
    <n v="2024"/>
    <n v="11"/>
  </r>
  <r>
    <n v="1349"/>
    <n v="586"/>
    <x v="507"/>
    <n v="339.61"/>
    <x v="6"/>
    <x v="3"/>
    <n v="1"/>
    <s v="2024-Nov"/>
    <n v="0"/>
    <n v="2024"/>
    <n v="11"/>
  </r>
  <r>
    <n v="1460"/>
    <n v="980"/>
    <x v="508"/>
    <n v="146.22"/>
    <x v="2"/>
    <x v="3"/>
    <n v="2"/>
    <s v="2024-Nov"/>
    <n v="1"/>
    <n v="2024"/>
    <n v="11"/>
  </r>
  <r>
    <n v="1148"/>
    <n v="920"/>
    <x v="509"/>
    <n v="183.39"/>
    <x v="7"/>
    <x v="2"/>
    <n v="1"/>
    <s v="2024-Nov"/>
    <n v="0"/>
    <n v="2024"/>
    <n v="11"/>
  </r>
  <r>
    <n v="1952"/>
    <n v="946"/>
    <x v="509"/>
    <n v="68.09"/>
    <x v="7"/>
    <x v="5"/>
    <n v="3"/>
    <s v="2024-Nov"/>
    <n v="1"/>
    <n v="2024"/>
    <n v="11"/>
  </r>
  <r>
    <n v="1768"/>
    <n v="682"/>
    <x v="510"/>
    <n v="491.07"/>
    <x v="2"/>
    <x v="6"/>
    <n v="2"/>
    <s v="2024-Nov"/>
    <n v="1"/>
    <n v="2024"/>
    <n v="11"/>
  </r>
  <r>
    <n v="1162"/>
    <n v="827"/>
    <x v="510"/>
    <n v="228.59"/>
    <x v="5"/>
    <x v="0"/>
    <n v="2"/>
    <s v="2024-Nov"/>
    <n v="1"/>
    <n v="2024"/>
    <n v="11"/>
  </r>
  <r>
    <n v="1214"/>
    <n v="12"/>
    <x v="511"/>
    <n v="454.37"/>
    <x v="5"/>
    <x v="5"/>
    <n v="2"/>
    <s v="2024-Nov"/>
    <n v="1"/>
    <n v="2024"/>
    <n v="11"/>
  </r>
  <r>
    <n v="1437"/>
    <n v="444"/>
    <x v="511"/>
    <n v="142.49"/>
    <x v="7"/>
    <x v="5"/>
    <n v="1"/>
    <s v="2024-Nov"/>
    <n v="0"/>
    <n v="2024"/>
    <n v="11"/>
  </r>
  <r>
    <n v="1500"/>
    <n v="739"/>
    <x v="511"/>
    <n v="22.96"/>
    <x v="7"/>
    <x v="0"/>
    <n v="1"/>
    <s v="2024-Nov"/>
    <n v="0"/>
    <n v="2024"/>
    <n v="11"/>
  </r>
  <r>
    <n v="1396"/>
    <n v="783"/>
    <x v="511"/>
    <n v="117.57"/>
    <x v="7"/>
    <x v="5"/>
    <n v="2"/>
    <s v="2024-Nov"/>
    <n v="1"/>
    <n v="2024"/>
    <n v="11"/>
  </r>
  <r>
    <n v="1233"/>
    <n v="257"/>
    <x v="512"/>
    <n v="477.56"/>
    <x v="0"/>
    <x v="3"/>
    <n v="1"/>
    <s v="2024-Nov"/>
    <n v="0"/>
    <n v="2024"/>
    <n v="11"/>
  </r>
  <r>
    <n v="1232"/>
    <n v="790"/>
    <x v="512"/>
    <n v="424.22"/>
    <x v="5"/>
    <x v="1"/>
    <n v="4"/>
    <s v="2024-Nov"/>
    <n v="1"/>
    <n v="2024"/>
    <n v="11"/>
  </r>
  <r>
    <n v="1202"/>
    <n v="306"/>
    <x v="513"/>
    <n v="405.72"/>
    <x v="3"/>
    <x v="6"/>
    <n v="2"/>
    <s v="2024-Nov"/>
    <n v="1"/>
    <n v="2024"/>
    <n v="11"/>
  </r>
  <r>
    <n v="1471"/>
    <n v="140"/>
    <x v="514"/>
    <n v="182.83"/>
    <x v="4"/>
    <x v="5"/>
    <n v="2"/>
    <s v="2024-Nov"/>
    <n v="1"/>
    <n v="2024"/>
    <n v="11"/>
  </r>
  <r>
    <n v="1863"/>
    <n v="196"/>
    <x v="514"/>
    <n v="459.75"/>
    <x v="0"/>
    <x v="4"/>
    <n v="2"/>
    <s v="2024-Nov"/>
    <n v="1"/>
    <n v="2024"/>
    <n v="11"/>
  </r>
  <r>
    <n v="1369"/>
    <n v="594"/>
    <x v="515"/>
    <n v="274.29000000000002"/>
    <x v="0"/>
    <x v="6"/>
    <n v="1"/>
    <s v="2024-Nov"/>
    <n v="0"/>
    <n v="2024"/>
    <n v="11"/>
  </r>
  <r>
    <n v="1421"/>
    <n v="855"/>
    <x v="515"/>
    <n v="160.02000000000001"/>
    <x v="3"/>
    <x v="6"/>
    <n v="2"/>
    <s v="2024-Nov"/>
    <n v="1"/>
    <n v="2024"/>
    <n v="11"/>
  </r>
  <r>
    <n v="1557"/>
    <n v="985"/>
    <x v="515"/>
    <n v="331.12"/>
    <x v="4"/>
    <x v="5"/>
    <n v="1"/>
    <s v="2024-Nov"/>
    <n v="0"/>
    <n v="2024"/>
    <n v="11"/>
  </r>
  <r>
    <n v="1702"/>
    <n v="98"/>
    <x v="516"/>
    <n v="496.11"/>
    <x v="4"/>
    <x v="0"/>
    <n v="1"/>
    <s v="2024-Nov"/>
    <n v="0"/>
    <n v="2024"/>
    <n v="11"/>
  </r>
  <r>
    <n v="1640"/>
    <n v="350"/>
    <x v="516"/>
    <n v="298.44"/>
    <x v="5"/>
    <x v="2"/>
    <n v="2"/>
    <s v="2024-Nov"/>
    <n v="1"/>
    <n v="2024"/>
    <n v="11"/>
  </r>
  <r>
    <n v="1604"/>
    <n v="729"/>
    <x v="517"/>
    <n v="8.48"/>
    <x v="3"/>
    <x v="5"/>
    <n v="1"/>
    <s v="2024-Nov"/>
    <n v="0"/>
    <n v="2024"/>
    <n v="11"/>
  </r>
  <r>
    <n v="1073"/>
    <n v="836"/>
    <x v="518"/>
    <n v="141.84"/>
    <x v="6"/>
    <x v="4"/>
    <n v="1"/>
    <s v="2024-Nov"/>
    <n v="0"/>
    <n v="2024"/>
    <n v="11"/>
  </r>
  <r>
    <n v="1040"/>
    <n v="153"/>
    <x v="519"/>
    <n v="65.87"/>
    <x v="5"/>
    <x v="5"/>
    <n v="3"/>
    <s v="2024-Nov"/>
    <n v="1"/>
    <n v="2024"/>
    <n v="11"/>
  </r>
  <r>
    <n v="1476"/>
    <n v="524"/>
    <x v="520"/>
    <n v="196.24"/>
    <x v="0"/>
    <x v="0"/>
    <n v="3"/>
    <s v="2024-Nov"/>
    <n v="1"/>
    <n v="2024"/>
    <n v="11"/>
  </r>
  <r>
    <n v="1341"/>
    <n v="861"/>
    <x v="520"/>
    <n v="163.24"/>
    <x v="2"/>
    <x v="6"/>
    <n v="3"/>
    <s v="2024-Nov"/>
    <n v="1"/>
    <n v="2024"/>
    <n v="11"/>
  </r>
  <r>
    <n v="1637"/>
    <n v="889"/>
    <x v="520"/>
    <n v="440.51"/>
    <x v="7"/>
    <x v="3"/>
    <n v="3"/>
    <s v="2024-Nov"/>
    <n v="1"/>
    <n v="2024"/>
    <n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otal Amount" cacheId="20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B3" firstHeaderRow="1" firstDataRow="1" firstDataCol="0"/>
  <pivotFields count="13">
    <pivotField showAll="0"/>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Amount" fld="3" baseField="0" baseItem="0" numFmtId="1"/>
  </dataFields>
  <formats count="16">
    <format dxfId="70">
      <pivotArea type="all" dataOnly="0" outline="0" fieldPosition="0"/>
    </format>
    <format dxfId="69">
      <pivotArea outline="0" collapsedLevelsAreSubtotals="1"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 dxfId="55">
      <pivotArea outline="0" collapsedLevelsAreSubtotals="1" fieldPosition="0"/>
    </format>
  </formats>
  <pivotTableStyleInfo name="PivotStyleLight2"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94F755-F30F-4648-8849-52A68B8784BB}" name="Retention Rate" cacheId="19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Retention Rate">
  <location ref="E33:G59"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2">
    <field x="1"/>
    <field x="0"/>
  </rowFields>
  <rowItems count="2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t="grand">
      <x/>
    </i>
  </rowItems>
  <colFields count="1">
    <field x="-2"/>
  </colFields>
  <colItems count="2">
    <i>
      <x/>
    </i>
    <i i="1">
      <x v="1"/>
    </i>
  </colItems>
  <dataFields count="2">
    <dataField name="Sum of Returning Flag" fld="2" baseField="0" baseItem="0"/>
    <dataField name="Distinct Count of CustomerID" fld="3" subtotal="count" baseField="0" baseItem="3">
      <extLst>
        <ext xmlns:x15="http://schemas.microsoft.com/office/spreadsheetml/2010/11/main" uri="{FABC7310-3BB5-11E1-824E-6D434824019B}">
          <x15:dataField isCountDistinct="1"/>
        </ext>
      </extLst>
    </dataField>
  </dataFields>
  <formats count="1">
    <format dxfId="71">
      <pivotArea field="1" type="button" dataOnly="0" labelOnly="1" outline="0" axis="axisRow" fieldPosition="0"/>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zeriMed_Sales_Data_1000_original_Dashobard.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0E511C-4E5F-4138-9564-21B0A052C04E}" name="Repeat Customers by Month" cacheId="214"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5" rowHeaderCaption="Repeat Customers by Month">
  <location ref="E67:F93"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s>
  <rowFields count="2">
    <field x="3"/>
    <field x="2"/>
  </rowFields>
  <rowItems count="2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t="grand">
      <x/>
    </i>
  </rowItems>
  <colItems count="1">
    <i/>
  </colItems>
  <pageFields count="1">
    <pageField fld="1" hier="6" name="[Data].[PurchaseCount].&amp;[2]" cap="2"/>
  </pageFields>
  <dataFields count="1">
    <dataField name="Distinct Count of CustomerID" fld="0" subtotal="count" baseField="0" baseItem="0">
      <extLst>
        <ext xmlns:x15="http://schemas.microsoft.com/office/spreadsheetml/2010/11/main" uri="{FABC7310-3BB5-11E1-824E-6D434824019B}">
          <x15:dataField isCountDistinct="1"/>
        </ext>
      </extLst>
    </dataField>
  </dataFields>
  <formats count="1">
    <format dxfId="4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multipleItemSelectionAllowed="1" dragToData="1">
      <members count="6" level="1">
        <member name="[Data].[PurchaseCount].&amp;[2]"/>
        <member name="[Data].[PurchaseCount].&amp;[3]"/>
        <member name="[Data].[PurchaseCount].&amp;[4]"/>
        <member name="[Data].[PurchaseCount].&amp;[5]"/>
        <member name="[Data].[PurchaseCount].&amp;[6]"/>
        <member name="[Data].[PurchaseCount].&amp;[7]"/>
      </members>
    </pivotHierarchy>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zeriMed_Sales_Data_1000_original_Dashobard.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AB2C52-F12D-4415-A520-85EDCF87B31A}" name="Churn rate" cacheId="19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Churn rate">
  <location ref="E3:F29" firstHeaderRow="1" firstDataRow="1" firstDataCol="1"/>
  <pivotFields count="4">
    <pivotField axis="axisRow" allDrilled="1" subtotalTop="0" showAll="0" dataSourceSort="1" defaultSubtotal="0" defaultAttributeDrillState="1">
      <items count="5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s>
    </pivotField>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2">
        <item x="0"/>
        <item x="1"/>
      </items>
    </pivotField>
  </pivotFields>
  <rowFields count="3">
    <field x="3"/>
    <field x="2"/>
    <field x="0"/>
  </rowFields>
  <rowItems count="2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t="grand">
      <x/>
    </i>
  </rowItems>
  <colItems count="1">
    <i/>
  </colItems>
  <dataFields count="1">
    <dataField name="Distinct Count of CustomerID" fld="1" subtotal="count" baseField="0" baseItem="1">
      <extLst>
        <ext xmlns:x15="http://schemas.microsoft.com/office/spreadsheetml/2010/11/main" uri="{FABC7310-3BB5-11E1-824E-6D434824019B}">
          <x15:dataField isCountDistinct="1"/>
        </ext>
      </extLst>
    </dataField>
  </dataFields>
  <formats count="1">
    <format dxfId="72">
      <pivotArea field="3" type="button" dataOnly="0" labelOnly="1" outline="0" axis="axisRow" fieldPosition="0"/>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ies>
  <pivotTableStyleInfo name="PivotStyleLight16" showRowHeaders="1" showColHeaders="1" showRowStripes="0" showColStripes="0" showLastColumn="1"/>
  <rowHierarchiesUsage count="3">
    <rowHierarchyUsage hierarchyUsage="9"/>
    <rowHierarchyUsage hierarchyUsage="10"/>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zeriMed_Sales_Data_1000_original_Dashobard.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DDE7D1-0EB6-4EE7-B519-6C886232A33F}" name="Repeat Customers" cacheId="21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B12:B13"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6" name="[Data].[PurchaseCount].&amp;[2]" cap="2"/>
  </pageFields>
  <dataFields count="1">
    <dataField name="Distinct Count of CustomerID" fld="0" subtotal="count" baseField="0" baseItem="0">
      <extLst>
        <ext xmlns:x15="http://schemas.microsoft.com/office/spreadsheetml/2010/11/main" uri="{FABC7310-3BB5-11E1-824E-6D434824019B}">
          <x15:dataField isCountDistinct="1"/>
        </ext>
      </extLst>
    </dataField>
  </dataFields>
  <formats count="1">
    <format dxfId="73">
      <pivotArea outline="0" collapsedLevelsAreSubtotals="1" fieldPosition="0"/>
    </format>
  </formats>
  <pivotHierarchies count="20">
    <pivotHierarchy dragToData="1"/>
    <pivotHierarchy dragToData="1"/>
    <pivotHierarchy dragToData="1"/>
    <pivotHierarchy dragToData="1"/>
    <pivotHierarchy dragToData="1"/>
    <pivotHierarchy dragToData="1"/>
    <pivotHierarchy multipleItemSelectionAllowed="1" dragToData="1">
      <members count="6" level="1">
        <member name="[Data].[PurchaseCount].&amp;[2]"/>
        <member name="[Data].[PurchaseCount].&amp;[3]"/>
        <member name="[Data].[PurchaseCount].&amp;[4]"/>
        <member name="[Data].[PurchaseCount].&amp;[5]"/>
        <member name="[Data].[PurchaseCount].&amp;[6]"/>
        <member name="[Data].[PurchaseCount].&amp;[7]"/>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zeriMed_Sales_Data_1000_original_Dashobard.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73D0D8-97EB-4522-B765-09C543938373}" name="PivotTable20" cacheId="20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K2:AK3" firstHeaderRow="1" firstDataRow="1" firstDataCol="0"/>
  <pivotFields count="13">
    <pivotField showAll="0"/>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Sales" fld="3" baseField="0" baseItem="0"/>
  </dataFields>
  <formats count="12">
    <format dxfId="54">
      <pivotArea type="all" dataOnly="0" outline="0"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dataOnly="0" labelOnly="1" outline="0" axis="axisValues" fieldPosition="0"/>
    </format>
  </formats>
  <pivotTableStyleInfo name="PivotStyleLight2"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1C3F06-37B5-412E-B073-FB0BE771049F}" name="Amount By Region" cacheId="20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Amount By Region">
  <location ref="E4:F12" firstHeaderRow="1" firstDataRow="1" firstDataCol="1"/>
  <pivotFields count="13">
    <pivotField showAll="0"/>
    <pivotField showAll="0"/>
    <pivotField numFmtId="14" showAll="0"/>
    <pivotField dataField="1" showAll="0"/>
    <pivotField showAll="0"/>
    <pivotField axis="axisRow" showAll="0" sortType="ascending">
      <items count="8">
        <item x="3"/>
        <item x="6"/>
        <item x="5"/>
        <item x="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defaultSubtotal="0"/>
    <pivotField showAll="0" defaultSubtotal="0"/>
  </pivotFields>
  <rowFields count="1">
    <field x="5"/>
  </rowFields>
  <rowItems count="8">
    <i>
      <x v="4"/>
    </i>
    <i>
      <x v="3"/>
    </i>
    <i>
      <x v="2"/>
    </i>
    <i>
      <x v="5"/>
    </i>
    <i>
      <x v="6"/>
    </i>
    <i>
      <x v="1"/>
    </i>
    <i>
      <x/>
    </i>
    <i t="grand">
      <x/>
    </i>
  </rowItems>
  <colItems count="1">
    <i/>
  </colItems>
  <dataFields count="1">
    <dataField name="Sum of Amount" fld="3" baseField="0" baseItem="0"/>
  </dataField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4"/>
          </reference>
        </references>
      </pivotArea>
    </chartFormat>
    <chartFormat chart="2" format="4">
      <pivotArea type="data" outline="0" fieldPosition="0">
        <references count="2">
          <reference field="4294967294" count="1" selected="0">
            <x v="0"/>
          </reference>
          <reference field="5" count="1" selected="0">
            <x v="3"/>
          </reference>
        </references>
      </pivotArea>
    </chartFormat>
    <chartFormat chart="2" format="5">
      <pivotArea type="data" outline="0" fieldPosition="0">
        <references count="2">
          <reference field="4294967294" count="1" selected="0">
            <x v="0"/>
          </reference>
          <reference field="5" count="1" selected="0">
            <x v="2"/>
          </reference>
        </references>
      </pivotArea>
    </chartFormat>
    <chartFormat chart="2" format="6">
      <pivotArea type="data" outline="0" fieldPosition="0">
        <references count="2">
          <reference field="4294967294" count="1" selected="0">
            <x v="0"/>
          </reference>
          <reference field="5" count="1" selected="0">
            <x v="5"/>
          </reference>
        </references>
      </pivotArea>
    </chartFormat>
    <chartFormat chart="2" format="7">
      <pivotArea type="data" outline="0" fieldPosition="0">
        <references count="2">
          <reference field="4294967294" count="1" selected="0">
            <x v="0"/>
          </reference>
          <reference field="5" count="1" selected="0">
            <x v="6"/>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52C9AC-FEF7-4F26-957A-4DF3D1AEEB38}" name="Amount By Month" cacheId="20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Amount By Month">
  <location ref="B4:C30" firstHeaderRow="1" firstDataRow="1" firstDataCol="1"/>
  <pivotFields count="13">
    <pivotField showAll="0"/>
    <pivotField showAll="0"/>
    <pivotField axis="axisRow" numFmtId="14" showAll="0">
      <items count="15">
        <item x="0"/>
        <item x="1"/>
        <item x="2"/>
        <item x="3"/>
        <item x="4"/>
        <item x="5"/>
        <item x="6"/>
        <item x="7"/>
        <item x="8"/>
        <item x="9"/>
        <item x="10"/>
        <item x="11"/>
        <item x="12"/>
        <item x="13"/>
        <item t="default"/>
      </items>
    </pivotField>
    <pivotField dataField="1" showAll="0"/>
    <pivotField showAll="0"/>
    <pivotField showAll="0">
      <items count="8">
        <item x="3"/>
        <item x="6"/>
        <item x="5"/>
        <item x="4"/>
        <item x="0"/>
        <item x="1"/>
        <item x="2"/>
        <item t="default"/>
      </items>
    </pivotField>
    <pivotField showAll="0"/>
    <pivotField showAll="0"/>
    <pivotField showAll="0"/>
    <pivotField showAll="0"/>
    <pivotField showAll="0"/>
    <pivotField showAll="0" defaultSubtotal="0">
      <items count="6">
        <item sd="0" x="0"/>
        <item sd="0" x="1"/>
        <item sd="0" x="2"/>
        <item sd="0" x="3"/>
        <item sd="0" x="4"/>
        <item sd="0" x="5"/>
      </items>
    </pivotField>
    <pivotField axis="axisRow" showAll="0" defaultSubtotal="0">
      <items count="4">
        <item sd="0" x="0"/>
        <item x="1"/>
        <item x="2"/>
        <item sd="0" x="3"/>
      </items>
    </pivotField>
  </pivotFields>
  <rowFields count="2">
    <field x="12"/>
    <field x="2"/>
  </rowFields>
  <rowItems count="26">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t="grand">
      <x/>
    </i>
  </rowItems>
  <colItems count="1">
    <i/>
  </colItems>
  <dataFields count="1">
    <dataField name="Sum of Amount" fld="3" baseField="0" baseItem="0" numFmtId="1"/>
  </dataFields>
  <formats count="1">
    <format dxfId="4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F2DB6C-B881-4F10-8D34-FCCDAD0AECA9}" name="Amount By Porduct" cacheId="20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Amount By Porduct">
  <location ref="E15:F24" firstHeaderRow="1" firstDataRow="1" firstDataCol="1"/>
  <pivotFields count="13">
    <pivotField showAll="0"/>
    <pivotField showAll="0"/>
    <pivotField numFmtId="14" showAll="0"/>
    <pivotField dataField="1" showAll="0"/>
    <pivotField axis="axisRow" showAll="0">
      <items count="9">
        <item x="0"/>
        <item x="7"/>
        <item x="6"/>
        <item x="2"/>
        <item x="4"/>
        <item x="1"/>
        <item x="5"/>
        <item x="3"/>
        <item t="default"/>
      </items>
    </pivotField>
    <pivotField showAll="0">
      <items count="8">
        <item x="3"/>
        <item x="6"/>
        <item x="5"/>
        <item x="4"/>
        <item x="0"/>
        <item x="1"/>
        <item x="2"/>
        <item t="default"/>
      </items>
    </pivotField>
    <pivotField showAll="0"/>
    <pivotField showAll="0"/>
    <pivotField showAll="0"/>
    <pivotField showAll="0"/>
    <pivotField showAll="0"/>
    <pivotField showAll="0" defaultSubtotal="0"/>
    <pivotField showAll="0" defaultSubtotal="0"/>
  </pivotFields>
  <rowFields count="1">
    <field x="4"/>
  </rowFields>
  <rowItems count="9">
    <i>
      <x/>
    </i>
    <i>
      <x v="1"/>
    </i>
    <i>
      <x v="2"/>
    </i>
    <i>
      <x v="3"/>
    </i>
    <i>
      <x v="4"/>
    </i>
    <i>
      <x v="5"/>
    </i>
    <i>
      <x v="6"/>
    </i>
    <i>
      <x v="7"/>
    </i>
    <i t="grand">
      <x/>
    </i>
  </rowItems>
  <colItems count="1">
    <i/>
  </colItems>
  <dataFields count="1">
    <dataField name="Sum of Amount" fld="3" baseField="0" baseItem="0"/>
  </dataFields>
  <chartFormats count="9">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 chart="2" format="15">
      <pivotArea type="data" outline="0" fieldPosition="0">
        <references count="2">
          <reference field="4294967294" count="1" selected="0">
            <x v="0"/>
          </reference>
          <reference field="4" count="1" selected="0">
            <x v="4"/>
          </reference>
        </references>
      </pivotArea>
    </chartFormat>
    <chartFormat chart="2" format="16">
      <pivotArea type="data" outline="0" fieldPosition="0">
        <references count="2">
          <reference field="4294967294" count="1" selected="0">
            <x v="0"/>
          </reference>
          <reference field="4" count="1" selected="0">
            <x v="5"/>
          </reference>
        </references>
      </pivotArea>
    </chartFormat>
    <chartFormat chart="2" format="17">
      <pivotArea type="data" outline="0" fieldPosition="0">
        <references count="2">
          <reference field="4294967294" count="1" selected="0">
            <x v="0"/>
          </reference>
          <reference field="4" count="1" selected="0">
            <x v="6"/>
          </reference>
        </references>
      </pivotArea>
    </chartFormat>
    <chartFormat chart="2" format="18">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9ABEB7-F185-4E26-B41D-BB30FE1898BA}" sourceName="Region">
  <pivotTables>
    <pivotTable tabId="7" name="Amount By Region"/>
    <pivotTable tabId="7" name="Amount By Month"/>
    <pivotTable tabId="7" name="Amount By Porduct"/>
  </pivotTables>
  <data>
    <tabular pivotCacheId="1504918963">
      <items count="7">
        <i x="3" s="1"/>
        <i x="6" s="1"/>
        <i x="5" s="1"/>
        <i x="4"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C2DCEB6-4842-4C66-8F67-F9EF5F0BD480}"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K1001" totalsRowShown="0">
  <autoFilter ref="A1:K1001" xr:uid="{D0484F4A-BE8E-4358-9A85-C6772EBE6F08}"/>
  <sortState xmlns:xlrd2="http://schemas.microsoft.com/office/spreadsheetml/2017/richdata2" ref="A2:I1001">
    <sortCondition ref="C1:C1001"/>
  </sortState>
  <tableColumns count="11">
    <tableColumn id="1" xr3:uid="{00000000-0010-0000-0000-000001000000}" name="CustomerID"/>
    <tableColumn id="2" xr3:uid="{00000000-0010-0000-0000-000002000000}" name="OrderID"/>
    <tableColumn id="3" xr3:uid="{00000000-0010-0000-0000-000003000000}" name="OrderDate" dataDxfId="40"/>
    <tableColumn id="4" xr3:uid="{00000000-0010-0000-0000-000004000000}" name="Amount"/>
    <tableColumn id="5" xr3:uid="{00000000-0010-0000-0000-000005000000}" name="Product"/>
    <tableColumn id="6" xr3:uid="{00000000-0010-0000-0000-000006000000}" name="Region"/>
    <tableColumn id="7" xr3:uid="{00000000-0010-0000-0000-000007000000}" name="PurchaseCount" dataDxfId="35">
      <calculatedColumnFormula>COUNTIF(Data[CustomerID], Data[[#This Row],[CustomerID]])</calculatedColumnFormula>
    </tableColumn>
    <tableColumn id="8" xr3:uid="{FA3EB018-ADB4-4AA5-BBED-EB6160A2EEEC}" name="Year-Month" dataDxfId="39">
      <calculatedColumnFormula>TEXT(Data[OrderDate],"yyyy-mmm")</calculatedColumnFormula>
    </tableColumn>
    <tableColumn id="9" xr3:uid="{07C9C1BC-F197-4A23-A9AB-22DB757B36EF}" name="Returning Flag" dataDxfId="38">
      <calculatedColumnFormula>IF(
   COUNTIFS(
      Data[CustomerID], Data[[#This Row],[CustomerID]],
      Data[OrderDate], "&lt;" &amp; EOMONTH(Data[[#This Row],[OrderDate]], -1) + 1
   ) &gt; 0,
   1,
   0
)</calculatedColumnFormula>
    </tableColumn>
    <tableColumn id="10" xr3:uid="{3B128835-8712-476C-88E3-62C0BC615655}" name="OrderYear" dataDxfId="37">
      <calculatedColumnFormula>YEAR(Data[[#This Row],[OrderDate]])</calculatedColumnFormula>
    </tableColumn>
    <tableColumn id="11" xr3:uid="{754A8687-57C4-47F3-8430-2C37C7048D84}" name="OrderMonth" dataDxfId="36">
      <calculatedColumnFormula>MONTH(Data[[#This Row],[OrderDate]])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2C9D07-A851-443E-B74A-C44BB11668E6}" name="Table3" displayName="Table3" ref="M1:P616" totalsRowShown="0" headerRowDxfId="78" headerRowCellStyle="Accent1">
  <autoFilter ref="M1:P616" xr:uid="{A06D8066-324E-4750-9128-AFEA2FCED1A0}"/>
  <sortState xmlns:xlrd2="http://schemas.microsoft.com/office/spreadsheetml/2017/richdata2" ref="M2:P616">
    <sortCondition descending="1" ref="P1:P616"/>
  </sortState>
  <tableColumns count="4">
    <tableColumn id="1" xr3:uid="{2D06959C-C6A2-436D-8B4C-820A574DB0DD}" name="CustomerID UNIQUE" dataDxfId="77"/>
    <tableColumn id="2" xr3:uid="{8D991D20-49B6-4962-B713-A01986C3625A}" name="Recency" dataDxfId="76">
      <calculatedColumnFormula>MAX(Data[OrderDate])-_xlfn.MAXIFS(Data[OrderDate],Data[CustomerID],M2)</calculatedColumnFormula>
    </tableColumn>
    <tableColumn id="3" xr3:uid="{C3696716-3FBF-4727-9F3B-DC9928F068D5}" name="Frequence" dataDxfId="75">
      <calculatedColumnFormula>COUNTIFS(Data[CustomerID], M2)</calculatedColumnFormula>
    </tableColumn>
    <tableColumn id="4" xr3:uid="{9BD61827-F9FA-4195-B39E-520371372735}" name="Monetary" dataDxfId="74">
      <calculatedColumnFormula>SUMIFS(Data[Amount], Data[CustomerID], M2)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B8460558-C5ED-4FEB-8FC1-E538096E2D30}" sourceName="[Data].[OrderDate]">
  <pivotTables>
    <pivotTable tabId="3" name="Repeat Customers by Month"/>
  </pivotTables>
  <state minimalRefreshVersion="6" lastRefreshVersion="6" pivotCacheId="88666327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F2A99181-F756-4F34-9C1B-0246E6DCF7AF}" cache="Timeline_OrderDate" caption="OrderDate" level="0" selectionLevel="0" scrollPosition="2023-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microsoft.com/office/2011/relationships/timeline" Target="../timelines/timelin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1"/>
  <sheetViews>
    <sheetView workbookViewId="0">
      <selection activeCell="G4" sqref="G4"/>
    </sheetView>
  </sheetViews>
  <sheetFormatPr defaultRowHeight="15" x14ac:dyDescent="0.25"/>
  <cols>
    <col min="1" max="1" width="13.5703125" customWidth="1"/>
    <col min="2" max="2" width="10.140625" customWidth="1"/>
    <col min="3" max="3" width="12.42578125" customWidth="1"/>
    <col min="4" max="4" width="10.28515625" customWidth="1"/>
    <col min="5" max="5" width="16.140625" bestFit="1" customWidth="1"/>
    <col min="6" max="6" width="11.28515625" bestFit="1" customWidth="1"/>
    <col min="7" max="7" width="16.7109375" bestFit="1" customWidth="1"/>
    <col min="8" max="8" width="14" bestFit="1" customWidth="1"/>
    <col min="9" max="9" width="16.140625" bestFit="1" customWidth="1"/>
    <col min="13" max="13" width="21.28515625" customWidth="1"/>
    <col min="14" max="14" width="10.42578125" customWidth="1"/>
    <col min="15" max="15" width="12.5703125" customWidth="1"/>
    <col min="16" max="16" width="11.85546875" customWidth="1"/>
  </cols>
  <sheetData>
    <row r="1" spans="1:19" ht="20.25" customHeight="1" x14ac:dyDescent="0.25">
      <c r="A1" t="s">
        <v>0</v>
      </c>
      <c r="B1" t="s">
        <v>1</v>
      </c>
      <c r="C1" t="s">
        <v>2</v>
      </c>
      <c r="D1" t="s">
        <v>3</v>
      </c>
      <c r="E1" t="s">
        <v>4</v>
      </c>
      <c r="F1" t="s">
        <v>5</v>
      </c>
      <c r="G1" t="s">
        <v>23</v>
      </c>
      <c r="H1" t="s">
        <v>29</v>
      </c>
      <c r="I1" t="s">
        <v>35</v>
      </c>
      <c r="J1" t="s">
        <v>69</v>
      </c>
      <c r="K1" t="s">
        <v>70</v>
      </c>
      <c r="M1" s="14" t="s">
        <v>37</v>
      </c>
      <c r="N1" s="14" t="s">
        <v>40</v>
      </c>
      <c r="O1" s="14" t="s">
        <v>41</v>
      </c>
      <c r="P1" s="14" t="s">
        <v>42</v>
      </c>
    </row>
    <row r="2" spans="1:19" x14ac:dyDescent="0.25">
      <c r="A2">
        <v>1459</v>
      </c>
      <c r="B2">
        <v>33</v>
      </c>
      <c r="C2" s="1">
        <v>44927</v>
      </c>
      <c r="D2">
        <v>348.13</v>
      </c>
      <c r="E2" t="s">
        <v>15</v>
      </c>
      <c r="F2" t="s">
        <v>7</v>
      </c>
      <c r="G2">
        <f>COUNTIF(Data[CustomerID], Data[[#This Row],[CustomerID]])</f>
        <v>2</v>
      </c>
      <c r="H2" s="1" t="str">
        <f>TEXT(Data[OrderDate],"yyyy-mmm")</f>
        <v>2023-Jan</v>
      </c>
      <c r="I2">
        <f>IF(
   COUNTIFS(
      Data[CustomerID], Data[[#This Row],[CustomerID]],
      Data[OrderDate], "&lt;" &amp; EOMONTH(Data[[#This Row],[OrderDate]], -1) + 1
   ) &gt; 0,
   1,
   0
)</f>
        <v>0</v>
      </c>
      <c r="J2">
        <f>YEAR(Data[[#This Row],[OrderDate]])</f>
        <v>2023</v>
      </c>
      <c r="K2" s="2">
        <f>MONTH(Data[[#This Row],[OrderDate]])</f>
        <v>1</v>
      </c>
      <c r="M2" s="12">
        <v>1098</v>
      </c>
      <c r="N2" s="21">
        <f>MAX(Data[OrderDate])-_xlfn.MAXIFS(Data[OrderDate],Data[CustomerID],M2)</f>
        <v>84</v>
      </c>
      <c r="O2" s="22">
        <f>COUNTIFS(Data[CustomerID], M2)</f>
        <v>7</v>
      </c>
      <c r="P2" s="23">
        <f>SUMIFS(Data[Amount], Data[CustomerID], M2)</f>
        <v>1716.0500000000002</v>
      </c>
    </row>
    <row r="3" spans="1:19" x14ac:dyDescent="0.25">
      <c r="A3">
        <v>1358</v>
      </c>
      <c r="B3">
        <v>248</v>
      </c>
      <c r="C3" s="1">
        <v>44927</v>
      </c>
      <c r="D3">
        <v>200.21</v>
      </c>
      <c r="E3" t="s">
        <v>15</v>
      </c>
      <c r="F3" t="s">
        <v>14</v>
      </c>
      <c r="G3">
        <f>COUNTIF(Data[CustomerID], Data[[#This Row],[CustomerID]])</f>
        <v>1</v>
      </c>
      <c r="H3" s="1" t="str">
        <f>TEXT(Data[OrderDate],"yyyy-mmm")</f>
        <v>2023-Jan</v>
      </c>
      <c r="I3">
        <f>IF(
   COUNTIFS(
      Data[CustomerID], Data[[#This Row],[CustomerID]],
      Data[OrderDate], "&lt;" &amp; EOMONTH(Data[[#This Row],[OrderDate]], -1) + 1
   ) &gt; 0,
   1,
   0
)</f>
        <v>0</v>
      </c>
      <c r="J3">
        <f>YEAR(Data[[#This Row],[OrderDate]])</f>
        <v>2023</v>
      </c>
      <c r="K3" s="2">
        <f>MONTH(Data[[#This Row],[OrderDate]])</f>
        <v>1</v>
      </c>
      <c r="M3" s="12">
        <v>1957</v>
      </c>
      <c r="N3" s="21">
        <f>MAX(Data[OrderDate])-_xlfn.MAXIFS(Data[OrderDate],Data[CustomerID],M3)</f>
        <v>28</v>
      </c>
      <c r="O3" s="22">
        <f>COUNTIFS(Data[CustomerID], M3)</f>
        <v>6</v>
      </c>
      <c r="P3" s="23">
        <f>SUMIFS(Data[Amount], Data[CustomerID], M3)</f>
        <v>1651.64</v>
      </c>
    </row>
    <row r="4" spans="1:19" x14ac:dyDescent="0.25">
      <c r="A4">
        <v>1152</v>
      </c>
      <c r="B4">
        <v>403</v>
      </c>
      <c r="C4" s="1">
        <v>44927</v>
      </c>
      <c r="D4">
        <v>289.42</v>
      </c>
      <c r="E4" t="s">
        <v>13</v>
      </c>
      <c r="F4" t="s">
        <v>14</v>
      </c>
      <c r="G4">
        <f>COUNTIF(Data[CustomerID], Data[[#This Row],[CustomerID]])</f>
        <v>1</v>
      </c>
      <c r="H4" s="1" t="str">
        <f>TEXT(Data[OrderDate],"yyyy-mmm")</f>
        <v>2023-Jan</v>
      </c>
      <c r="I4">
        <f>IF(
   COUNTIFS(
      Data[CustomerID], Data[[#This Row],[CustomerID]],
      Data[OrderDate], "&lt;" &amp; EOMONTH(Data[[#This Row],[OrderDate]], -1) + 1
   ) &gt; 0,
   1,
   0
)</f>
        <v>0</v>
      </c>
      <c r="J4">
        <f>YEAR(Data[[#This Row],[OrderDate]])</f>
        <v>2023</v>
      </c>
      <c r="K4" s="2">
        <f>MONTH(Data[[#This Row],[OrderDate]])</f>
        <v>1</v>
      </c>
      <c r="M4" s="12">
        <v>1392</v>
      </c>
      <c r="N4" s="21">
        <f>MAX(Data[OrderDate])-_xlfn.MAXIFS(Data[OrderDate],Data[CustomerID],M4)</f>
        <v>230</v>
      </c>
      <c r="O4" s="22">
        <f>COUNTIFS(Data[CustomerID], M4)</f>
        <v>4</v>
      </c>
      <c r="P4" s="23">
        <f>SUMIFS(Data[Amount], Data[CustomerID], M4)</f>
        <v>1578.52</v>
      </c>
      <c r="S4" t="s">
        <v>68</v>
      </c>
    </row>
    <row r="5" spans="1:19" x14ac:dyDescent="0.25">
      <c r="A5">
        <v>1200</v>
      </c>
      <c r="B5">
        <v>156</v>
      </c>
      <c r="C5" s="1">
        <v>44929</v>
      </c>
      <c r="D5">
        <v>321.8</v>
      </c>
      <c r="E5" t="s">
        <v>9</v>
      </c>
      <c r="F5" t="s">
        <v>12</v>
      </c>
      <c r="G5">
        <f>COUNTIF(Data[CustomerID], Data[[#This Row],[CustomerID]])</f>
        <v>3</v>
      </c>
      <c r="H5" s="1" t="str">
        <f>TEXT(Data[OrderDate],"yyyy-mmm")</f>
        <v>2023-Jan</v>
      </c>
      <c r="I5">
        <f>IF(
   COUNTIFS(
      Data[CustomerID], Data[[#This Row],[CustomerID]],
      Data[OrderDate], "&lt;" &amp; EOMONTH(Data[[#This Row],[OrderDate]], -1) + 1
   ) &gt; 0,
   1,
   0
)</f>
        <v>0</v>
      </c>
      <c r="J5">
        <f>YEAR(Data[[#This Row],[OrderDate]])</f>
        <v>2023</v>
      </c>
      <c r="K5" s="2">
        <f>MONTH(Data[[#This Row],[OrderDate]])</f>
        <v>1</v>
      </c>
      <c r="M5" s="12">
        <v>1775</v>
      </c>
      <c r="N5" s="21">
        <f>MAX(Data[OrderDate])-_xlfn.MAXIFS(Data[OrderDate],Data[CustomerID],M5)</f>
        <v>107</v>
      </c>
      <c r="O5" s="22">
        <f>COUNTIFS(Data[CustomerID], M5)</f>
        <v>4</v>
      </c>
      <c r="P5" s="23">
        <f>SUMIFS(Data[Amount], Data[CustomerID], M5)</f>
        <v>1495.13</v>
      </c>
    </row>
    <row r="6" spans="1:19" x14ac:dyDescent="0.25">
      <c r="A6">
        <v>1625</v>
      </c>
      <c r="B6">
        <v>740</v>
      </c>
      <c r="C6" s="1">
        <v>44929</v>
      </c>
      <c r="D6">
        <v>141.47999999999999</v>
      </c>
      <c r="E6" t="s">
        <v>15</v>
      </c>
      <c r="F6" t="s">
        <v>12</v>
      </c>
      <c r="G6">
        <f>COUNTIF(Data[CustomerID], Data[[#This Row],[CustomerID]])</f>
        <v>2</v>
      </c>
      <c r="H6" s="1" t="str">
        <f>TEXT(Data[OrderDate],"yyyy-mmm")</f>
        <v>2023-Jan</v>
      </c>
      <c r="I6">
        <f>IF(
   COUNTIFS(
      Data[CustomerID], Data[[#This Row],[CustomerID]],
      Data[OrderDate], "&lt;" &amp; EOMONTH(Data[[#This Row],[OrderDate]], -1) + 1
   ) &gt; 0,
   1,
   0
)</f>
        <v>0</v>
      </c>
      <c r="J6">
        <f>YEAR(Data[[#This Row],[OrderDate]])</f>
        <v>2023</v>
      </c>
      <c r="K6" s="2">
        <f>MONTH(Data[[#This Row],[OrderDate]])</f>
        <v>1</v>
      </c>
      <c r="M6" s="12">
        <v>1252</v>
      </c>
      <c r="N6" s="21">
        <f>MAX(Data[OrderDate])-_xlfn.MAXIFS(Data[OrderDate],Data[CustomerID],M6)</f>
        <v>254</v>
      </c>
      <c r="O6" s="22">
        <f>COUNTIFS(Data[CustomerID], M6)</f>
        <v>5</v>
      </c>
      <c r="P6" s="23">
        <f>SUMIFS(Data[Amount], Data[CustomerID], M6)</f>
        <v>1462.33</v>
      </c>
    </row>
    <row r="7" spans="1:19" x14ac:dyDescent="0.25">
      <c r="A7">
        <v>1454</v>
      </c>
      <c r="B7">
        <v>794</v>
      </c>
      <c r="C7" s="1">
        <v>44929</v>
      </c>
      <c r="D7">
        <v>111.96</v>
      </c>
      <c r="E7" t="s">
        <v>15</v>
      </c>
      <c r="F7" t="s">
        <v>10</v>
      </c>
      <c r="G7">
        <f>COUNTIF(Data[CustomerID], Data[[#This Row],[CustomerID]])</f>
        <v>2</v>
      </c>
      <c r="H7" s="1" t="str">
        <f>TEXT(Data[OrderDate],"yyyy-mmm")</f>
        <v>2023-Jan</v>
      </c>
      <c r="I7">
        <f>IF(
   COUNTIFS(
      Data[CustomerID], Data[[#This Row],[CustomerID]],
      Data[OrderDate], "&lt;" &amp; EOMONTH(Data[[#This Row],[OrderDate]], -1) + 1
   ) &gt; 0,
   1,
   0
)</f>
        <v>0</v>
      </c>
      <c r="J7">
        <f>YEAR(Data[[#This Row],[OrderDate]])</f>
        <v>2023</v>
      </c>
      <c r="K7" s="2">
        <f>MONTH(Data[[#This Row],[OrderDate]])</f>
        <v>1</v>
      </c>
      <c r="M7" s="12">
        <v>1143</v>
      </c>
      <c r="N7" s="21">
        <f>MAX(Data[OrderDate])-_xlfn.MAXIFS(Data[OrderDate],Data[CustomerID],M7)</f>
        <v>83</v>
      </c>
      <c r="O7" s="22">
        <f>COUNTIFS(Data[CustomerID], M7)</f>
        <v>4</v>
      </c>
      <c r="P7" s="23">
        <f>SUMIFS(Data[Amount], Data[CustomerID], M7)</f>
        <v>1419.48</v>
      </c>
      <c r="S7" t="s">
        <v>71</v>
      </c>
    </row>
    <row r="8" spans="1:19" x14ac:dyDescent="0.25">
      <c r="A8">
        <v>1619</v>
      </c>
      <c r="B8">
        <v>226</v>
      </c>
      <c r="C8" s="1">
        <v>44930</v>
      </c>
      <c r="D8">
        <v>283.89999999999998</v>
      </c>
      <c r="E8" t="s">
        <v>6</v>
      </c>
      <c r="F8" t="s">
        <v>18</v>
      </c>
      <c r="G8">
        <f>COUNTIF(Data[CustomerID], Data[[#This Row],[CustomerID]])</f>
        <v>2</v>
      </c>
      <c r="H8" s="1" t="str">
        <f>TEXT(Data[OrderDate],"yyyy-mmm")</f>
        <v>2023-Jan</v>
      </c>
      <c r="I8">
        <f>IF(
   COUNTIFS(
      Data[CustomerID], Data[[#This Row],[CustomerID]],
      Data[OrderDate], "&lt;" &amp; EOMONTH(Data[[#This Row],[OrderDate]], -1) + 1
   ) &gt; 0,
   1,
   0
)</f>
        <v>0</v>
      </c>
      <c r="J8">
        <f>YEAR(Data[[#This Row],[OrderDate]])</f>
        <v>2023</v>
      </c>
      <c r="K8" s="2">
        <f>MONTH(Data[[#This Row],[OrderDate]])</f>
        <v>1</v>
      </c>
      <c r="M8" s="12">
        <v>1658</v>
      </c>
      <c r="N8" s="21">
        <f>MAX(Data[OrderDate])-_xlfn.MAXIFS(Data[OrderDate],Data[CustomerID],M8)</f>
        <v>54</v>
      </c>
      <c r="O8" s="22">
        <f>COUNTIFS(Data[CustomerID], M8)</f>
        <v>5</v>
      </c>
      <c r="P8" s="23">
        <f>SUMIFS(Data[Amount], Data[CustomerID], M8)</f>
        <v>1378.97</v>
      </c>
    </row>
    <row r="9" spans="1:19" x14ac:dyDescent="0.25">
      <c r="A9">
        <v>1697</v>
      </c>
      <c r="B9">
        <v>558</v>
      </c>
      <c r="C9" s="1">
        <v>44930</v>
      </c>
      <c r="D9">
        <v>488.12</v>
      </c>
      <c r="E9" t="s">
        <v>15</v>
      </c>
      <c r="F9" t="s">
        <v>10</v>
      </c>
      <c r="G9">
        <f>COUNTIF(Data[CustomerID], Data[[#This Row],[CustomerID]])</f>
        <v>2</v>
      </c>
      <c r="H9" s="1" t="str">
        <f>TEXT(Data[OrderDate],"yyyy-mmm")</f>
        <v>2023-Jan</v>
      </c>
      <c r="I9">
        <f>IF(
   COUNTIFS(
      Data[CustomerID], Data[[#This Row],[CustomerID]],
      Data[OrderDate], "&lt;" &amp; EOMONTH(Data[[#This Row],[OrderDate]], -1) + 1
   ) &gt; 0,
   1,
   0
)</f>
        <v>0</v>
      </c>
      <c r="J9">
        <f>YEAR(Data[[#This Row],[OrderDate]])</f>
        <v>2023</v>
      </c>
      <c r="K9" s="2">
        <f>MONTH(Data[[#This Row],[OrderDate]])</f>
        <v>1</v>
      </c>
      <c r="M9" s="12">
        <v>1189</v>
      </c>
      <c r="N9" s="21">
        <f>MAX(Data[OrderDate])-_xlfn.MAXIFS(Data[OrderDate],Data[CustomerID],M9)</f>
        <v>258</v>
      </c>
      <c r="O9" s="22">
        <f>COUNTIFS(Data[CustomerID], M9)</f>
        <v>5</v>
      </c>
      <c r="P9" s="23">
        <f>SUMIFS(Data[Amount], Data[CustomerID], M9)</f>
        <v>1336.21</v>
      </c>
    </row>
    <row r="10" spans="1:19" x14ac:dyDescent="0.25">
      <c r="A10">
        <v>1102</v>
      </c>
      <c r="B10">
        <v>1</v>
      </c>
      <c r="C10" s="1">
        <v>44931</v>
      </c>
      <c r="D10">
        <v>219.46</v>
      </c>
      <c r="E10" t="s">
        <v>6</v>
      </c>
      <c r="F10" t="s">
        <v>7</v>
      </c>
      <c r="G10">
        <f>COUNTIF(Data[CustomerID], Data[[#This Row],[CustomerID]])</f>
        <v>2</v>
      </c>
      <c r="H10" s="1" t="str">
        <f>TEXT(Data[OrderDate],"yyyy-mmm")</f>
        <v>2023-Jan</v>
      </c>
      <c r="I10">
        <f>IF(
   COUNTIFS(
      Data[CustomerID], Data[[#This Row],[CustomerID]],
      Data[OrderDate], "&lt;" &amp; EOMONTH(Data[[#This Row],[OrderDate]], -1) + 1
   ) &gt; 0,
   1,
   0
)</f>
        <v>0</v>
      </c>
      <c r="J10">
        <f>YEAR(Data[[#This Row],[OrderDate]])</f>
        <v>2023</v>
      </c>
      <c r="K10" s="2">
        <f>MONTH(Data[[#This Row],[OrderDate]])</f>
        <v>1</v>
      </c>
      <c r="M10" s="12">
        <v>1345</v>
      </c>
      <c r="N10" s="21">
        <f>MAX(Data[OrderDate])-_xlfn.MAXIFS(Data[OrderDate],Data[CustomerID],M10)</f>
        <v>150</v>
      </c>
      <c r="O10" s="22">
        <f>COUNTIFS(Data[CustomerID], M10)</f>
        <v>4</v>
      </c>
      <c r="P10" s="23">
        <f>SUMIFS(Data[Amount], Data[CustomerID], M10)</f>
        <v>1307.3699999999999</v>
      </c>
    </row>
    <row r="11" spans="1:19" x14ac:dyDescent="0.25">
      <c r="A11">
        <v>1270</v>
      </c>
      <c r="B11">
        <v>109</v>
      </c>
      <c r="C11" s="1">
        <v>44931</v>
      </c>
      <c r="D11">
        <v>189.56</v>
      </c>
      <c r="E11" t="s">
        <v>20</v>
      </c>
      <c r="F11" t="s">
        <v>19</v>
      </c>
      <c r="G11">
        <f>COUNTIF(Data[CustomerID], Data[[#This Row],[CustomerID]])</f>
        <v>2</v>
      </c>
      <c r="H11" s="1" t="str">
        <f>TEXT(Data[OrderDate],"yyyy-mmm")</f>
        <v>2023-Jan</v>
      </c>
      <c r="I11">
        <f>IF(
   COUNTIFS(
      Data[CustomerID], Data[[#This Row],[CustomerID]],
      Data[OrderDate], "&lt;" &amp; EOMONTH(Data[[#This Row],[OrderDate]], -1) + 1
   ) &gt; 0,
   1,
   0
)</f>
        <v>0</v>
      </c>
      <c r="J11">
        <f>YEAR(Data[[#This Row],[OrderDate]])</f>
        <v>2023</v>
      </c>
      <c r="K11" s="2">
        <f>MONTH(Data[[#This Row],[OrderDate]])</f>
        <v>1</v>
      </c>
      <c r="M11" s="12">
        <v>1276</v>
      </c>
      <c r="N11" s="21">
        <f>MAX(Data[OrderDate])-_xlfn.MAXIFS(Data[OrderDate],Data[CustomerID],M11)</f>
        <v>314</v>
      </c>
      <c r="O11" s="22">
        <f>COUNTIFS(Data[CustomerID], M11)</f>
        <v>4</v>
      </c>
      <c r="P11" s="23">
        <f>SUMIFS(Data[Amount], Data[CustomerID], M11)</f>
        <v>1291.0300000000002</v>
      </c>
    </row>
    <row r="12" spans="1:19" x14ac:dyDescent="0.25">
      <c r="A12">
        <v>1224</v>
      </c>
      <c r="B12">
        <v>292</v>
      </c>
      <c r="C12" s="1">
        <v>44931</v>
      </c>
      <c r="D12">
        <v>260.01</v>
      </c>
      <c r="E12" t="s">
        <v>9</v>
      </c>
      <c r="F12" t="s">
        <v>12</v>
      </c>
      <c r="G12">
        <f>COUNTIF(Data[CustomerID], Data[[#This Row],[CustomerID]])</f>
        <v>3</v>
      </c>
      <c r="H12" s="1" t="str">
        <f>TEXT(Data[OrderDate],"yyyy-mmm")</f>
        <v>2023-Jan</v>
      </c>
      <c r="I12">
        <f>IF(
   COUNTIFS(
      Data[CustomerID], Data[[#This Row],[CustomerID]],
      Data[OrderDate], "&lt;" &amp; EOMONTH(Data[[#This Row],[OrderDate]], -1) + 1
   ) &gt; 0,
   1,
   0
)</f>
        <v>0</v>
      </c>
      <c r="J12">
        <f>YEAR(Data[[#This Row],[OrderDate]])</f>
        <v>2023</v>
      </c>
      <c r="K12" s="2">
        <f>MONTH(Data[[#This Row],[OrderDate]])</f>
        <v>1</v>
      </c>
      <c r="M12" s="12">
        <v>1555</v>
      </c>
      <c r="N12" s="21">
        <f>MAX(Data[OrderDate])-_xlfn.MAXIFS(Data[OrderDate],Data[CustomerID],M12)</f>
        <v>54</v>
      </c>
      <c r="O12" s="22">
        <f>COUNTIFS(Data[CustomerID], M12)</f>
        <v>4</v>
      </c>
      <c r="P12" s="23">
        <f>SUMIFS(Data[Amount], Data[CustomerID], M12)</f>
        <v>1276.5999999999999</v>
      </c>
    </row>
    <row r="13" spans="1:19" x14ac:dyDescent="0.25">
      <c r="A13">
        <v>1952</v>
      </c>
      <c r="B13">
        <v>222</v>
      </c>
      <c r="C13" s="1">
        <v>44932</v>
      </c>
      <c r="D13">
        <v>326.29000000000002</v>
      </c>
      <c r="E13" t="s">
        <v>13</v>
      </c>
      <c r="F13" t="s">
        <v>12</v>
      </c>
      <c r="G13">
        <f>COUNTIF(Data[CustomerID], Data[[#This Row],[CustomerID]])</f>
        <v>3</v>
      </c>
      <c r="H13" s="1" t="str">
        <f>TEXT(Data[OrderDate],"yyyy-mmm")</f>
        <v>2023-Jan</v>
      </c>
      <c r="I13">
        <f>IF(
   COUNTIFS(
      Data[CustomerID], Data[[#This Row],[CustomerID]],
      Data[OrderDate], "&lt;" &amp; EOMONTH(Data[[#This Row],[OrderDate]], -1) + 1
   ) &gt; 0,
   1,
   0
)</f>
        <v>0</v>
      </c>
      <c r="J13">
        <f>YEAR(Data[[#This Row],[OrderDate]])</f>
        <v>2023</v>
      </c>
      <c r="K13" s="2">
        <f>MONTH(Data[[#This Row],[OrderDate]])</f>
        <v>1</v>
      </c>
      <c r="M13" s="12">
        <v>1683</v>
      </c>
      <c r="N13" s="21">
        <f>MAX(Data[OrderDate])-_xlfn.MAXIFS(Data[OrderDate],Data[CustomerID],M13)</f>
        <v>99</v>
      </c>
      <c r="O13" s="22">
        <f>COUNTIFS(Data[CustomerID], M13)</f>
        <v>3</v>
      </c>
      <c r="P13" s="23">
        <f>SUMIFS(Data[Amount], Data[CustomerID], M13)</f>
        <v>1269.17</v>
      </c>
    </row>
    <row r="14" spans="1:19" x14ac:dyDescent="0.25">
      <c r="A14">
        <v>1134</v>
      </c>
      <c r="B14">
        <v>155</v>
      </c>
      <c r="C14" s="1">
        <v>44933</v>
      </c>
      <c r="D14">
        <v>30.59</v>
      </c>
      <c r="E14" t="s">
        <v>20</v>
      </c>
      <c r="F14" t="s">
        <v>19</v>
      </c>
      <c r="G14">
        <f>COUNTIF(Data[CustomerID], Data[[#This Row],[CustomerID]])</f>
        <v>2</v>
      </c>
      <c r="H14" s="1" t="str">
        <f>TEXT(Data[OrderDate],"yyyy-mmm")</f>
        <v>2023-Jan</v>
      </c>
      <c r="I14">
        <f>IF(
   COUNTIFS(
      Data[CustomerID], Data[[#This Row],[CustomerID]],
      Data[OrderDate], "&lt;" &amp; EOMONTH(Data[[#This Row],[OrderDate]], -1) + 1
   ) &gt; 0,
   1,
   0
)</f>
        <v>0</v>
      </c>
      <c r="J14">
        <f>YEAR(Data[[#This Row],[OrderDate]])</f>
        <v>2023</v>
      </c>
      <c r="K14" s="2">
        <f>MONTH(Data[[#This Row],[OrderDate]])</f>
        <v>1</v>
      </c>
      <c r="M14" s="12">
        <v>1637</v>
      </c>
      <c r="N14" s="21">
        <f>MAX(Data[OrderDate])-_xlfn.MAXIFS(Data[OrderDate],Data[CustomerID],M14)</f>
        <v>0</v>
      </c>
      <c r="O14" s="22">
        <f>COUNTIFS(Data[CustomerID], M14)</f>
        <v>3</v>
      </c>
      <c r="P14" s="23">
        <f>SUMIFS(Data[Amount], Data[CustomerID], M14)</f>
        <v>1204.76</v>
      </c>
    </row>
    <row r="15" spans="1:19" x14ac:dyDescent="0.25">
      <c r="A15">
        <v>1385</v>
      </c>
      <c r="B15">
        <v>514</v>
      </c>
      <c r="C15" s="1">
        <v>44933</v>
      </c>
      <c r="D15">
        <v>331.05</v>
      </c>
      <c r="E15" t="s">
        <v>11</v>
      </c>
      <c r="F15" t="s">
        <v>14</v>
      </c>
      <c r="G15">
        <f>COUNTIF(Data[CustomerID], Data[[#This Row],[CustomerID]])</f>
        <v>3</v>
      </c>
      <c r="H15" s="1" t="str">
        <f>TEXT(Data[OrderDate],"yyyy-mmm")</f>
        <v>2023-Jan</v>
      </c>
      <c r="I15">
        <f>IF(
   COUNTIFS(
      Data[CustomerID], Data[[#This Row],[CustomerID]],
      Data[OrderDate], "&lt;" &amp; EOMONTH(Data[[#This Row],[OrderDate]], -1) + 1
   ) &gt; 0,
   1,
   0
)</f>
        <v>0</v>
      </c>
      <c r="J15">
        <f>YEAR(Data[[#This Row],[OrderDate]])</f>
        <v>2023</v>
      </c>
      <c r="K15" s="2">
        <f>MONTH(Data[[#This Row],[OrderDate]])</f>
        <v>1</v>
      </c>
      <c r="M15" s="12">
        <v>1928</v>
      </c>
      <c r="N15" s="21">
        <f>MAX(Data[OrderDate])-_xlfn.MAXIFS(Data[OrderDate],Data[CustomerID],M15)</f>
        <v>109</v>
      </c>
      <c r="O15" s="22">
        <f>COUNTIFS(Data[CustomerID], M15)</f>
        <v>5</v>
      </c>
      <c r="P15" s="23">
        <f>SUMIFS(Data[Amount], Data[CustomerID], M15)</f>
        <v>1171.04</v>
      </c>
    </row>
    <row r="16" spans="1:19" x14ac:dyDescent="0.25">
      <c r="A16">
        <v>1499</v>
      </c>
      <c r="B16">
        <v>862</v>
      </c>
      <c r="C16" s="1">
        <v>44933</v>
      </c>
      <c r="D16">
        <v>494.27</v>
      </c>
      <c r="E16" t="s">
        <v>15</v>
      </c>
      <c r="F16" t="s">
        <v>12</v>
      </c>
      <c r="G16">
        <f>COUNTIF(Data[CustomerID], Data[[#This Row],[CustomerID]])</f>
        <v>1</v>
      </c>
      <c r="H16" s="1" t="str">
        <f>TEXT(Data[OrderDate],"yyyy-mmm")</f>
        <v>2023-Jan</v>
      </c>
      <c r="I16">
        <f>IF(
   COUNTIFS(
      Data[CustomerID], Data[[#This Row],[CustomerID]],
      Data[OrderDate], "&lt;" &amp; EOMONTH(Data[[#This Row],[OrderDate]], -1) + 1
   ) &gt; 0,
   1,
   0
)</f>
        <v>0</v>
      </c>
      <c r="J16">
        <f>YEAR(Data[[#This Row],[OrderDate]])</f>
        <v>2023</v>
      </c>
      <c r="K16" s="2">
        <f>MONTH(Data[[#This Row],[OrderDate]])</f>
        <v>1</v>
      </c>
      <c r="M16" s="12">
        <v>1219</v>
      </c>
      <c r="N16" s="21">
        <f>MAX(Data[OrderDate])-_xlfn.MAXIFS(Data[OrderDate],Data[CustomerID],M16)</f>
        <v>351</v>
      </c>
      <c r="O16" s="22">
        <f>COUNTIFS(Data[CustomerID], M16)</f>
        <v>4</v>
      </c>
      <c r="P16" s="23">
        <f>SUMIFS(Data[Amount], Data[CustomerID], M16)</f>
        <v>1140.5</v>
      </c>
    </row>
    <row r="17" spans="1:16" x14ac:dyDescent="0.25">
      <c r="A17">
        <v>1228</v>
      </c>
      <c r="B17">
        <v>926</v>
      </c>
      <c r="C17" s="1">
        <v>44933</v>
      </c>
      <c r="D17">
        <v>120.22</v>
      </c>
      <c r="E17" t="s">
        <v>13</v>
      </c>
      <c r="F17" t="s">
        <v>12</v>
      </c>
      <c r="G17">
        <f>COUNTIF(Data[CustomerID], Data[[#This Row],[CustomerID]])</f>
        <v>1</v>
      </c>
      <c r="H17" s="1" t="str">
        <f>TEXT(Data[OrderDate],"yyyy-mmm")</f>
        <v>2023-Jan</v>
      </c>
      <c r="I17">
        <f>IF(
   COUNTIFS(
      Data[CustomerID], Data[[#This Row],[CustomerID]],
      Data[OrderDate], "&lt;" &amp; EOMONTH(Data[[#This Row],[OrderDate]], -1) + 1
   ) &gt; 0,
   1,
   0
)</f>
        <v>0</v>
      </c>
      <c r="J17">
        <f>YEAR(Data[[#This Row],[OrderDate]])</f>
        <v>2023</v>
      </c>
      <c r="K17" s="2">
        <f>MONTH(Data[[#This Row],[OrderDate]])</f>
        <v>1</v>
      </c>
      <c r="M17" s="12">
        <v>1698</v>
      </c>
      <c r="N17" s="21">
        <f>MAX(Data[OrderDate])-_xlfn.MAXIFS(Data[OrderDate],Data[CustomerID],M17)</f>
        <v>36</v>
      </c>
      <c r="O17" s="22">
        <f>COUNTIFS(Data[CustomerID], M17)</f>
        <v>3</v>
      </c>
      <c r="P17" s="23">
        <f>SUMIFS(Data[Amount], Data[CustomerID], M17)</f>
        <v>1127.47</v>
      </c>
    </row>
    <row r="18" spans="1:16" x14ac:dyDescent="0.25">
      <c r="A18">
        <v>1343</v>
      </c>
      <c r="B18">
        <v>137</v>
      </c>
      <c r="C18" s="1">
        <v>44934</v>
      </c>
      <c r="D18">
        <v>296</v>
      </c>
      <c r="E18" t="s">
        <v>13</v>
      </c>
      <c r="F18" t="s">
        <v>12</v>
      </c>
      <c r="G18">
        <f>COUNTIF(Data[CustomerID], Data[[#This Row],[CustomerID]])</f>
        <v>2</v>
      </c>
      <c r="H18" s="1" t="str">
        <f>TEXT(Data[OrderDate],"yyyy-mmm")</f>
        <v>2023-Jan</v>
      </c>
      <c r="I18">
        <f>IF(
   COUNTIFS(
      Data[CustomerID], Data[[#This Row],[CustomerID]],
      Data[OrderDate], "&lt;" &amp; EOMONTH(Data[[#This Row],[OrderDate]], -1) + 1
   ) &gt; 0,
   1,
   0
)</f>
        <v>0</v>
      </c>
      <c r="J18">
        <f>YEAR(Data[[#This Row],[OrderDate]])</f>
        <v>2023</v>
      </c>
      <c r="K18" s="2">
        <f>MONTH(Data[[#This Row],[OrderDate]])</f>
        <v>1</v>
      </c>
      <c r="M18" s="12">
        <v>1372</v>
      </c>
      <c r="N18" s="21">
        <f>MAX(Data[OrderDate])-_xlfn.MAXIFS(Data[OrderDate],Data[CustomerID],M18)</f>
        <v>41</v>
      </c>
      <c r="O18" s="22">
        <f>COUNTIFS(Data[CustomerID], M18)</f>
        <v>4</v>
      </c>
      <c r="P18" s="23">
        <f>SUMIFS(Data[Amount], Data[CustomerID], M18)</f>
        <v>1107</v>
      </c>
    </row>
    <row r="19" spans="1:16" x14ac:dyDescent="0.25">
      <c r="A19">
        <v>1927</v>
      </c>
      <c r="B19">
        <v>490</v>
      </c>
      <c r="C19" s="1">
        <v>44934</v>
      </c>
      <c r="D19">
        <v>311.38</v>
      </c>
      <c r="E19" t="s">
        <v>9</v>
      </c>
      <c r="F19" t="s">
        <v>16</v>
      </c>
      <c r="G19">
        <f>COUNTIF(Data[CustomerID], Data[[#This Row],[CustomerID]])</f>
        <v>1</v>
      </c>
      <c r="H19" s="1" t="str">
        <f>TEXT(Data[OrderDate],"yyyy-mmm")</f>
        <v>2023-Jan</v>
      </c>
      <c r="I19">
        <f>IF(
   COUNTIFS(
      Data[CustomerID], Data[[#This Row],[CustomerID]],
      Data[OrderDate], "&lt;" &amp; EOMONTH(Data[[#This Row],[OrderDate]], -1) + 1
   ) &gt; 0,
   1,
   0
)</f>
        <v>0</v>
      </c>
      <c r="J19">
        <f>YEAR(Data[[#This Row],[OrderDate]])</f>
        <v>2023</v>
      </c>
      <c r="K19" s="2">
        <f>MONTH(Data[[#This Row],[OrderDate]])</f>
        <v>1</v>
      </c>
      <c r="M19" s="12">
        <v>1057</v>
      </c>
      <c r="N19" s="21">
        <f>MAX(Data[OrderDate])-_xlfn.MAXIFS(Data[OrderDate],Data[CustomerID],M19)</f>
        <v>252</v>
      </c>
      <c r="O19" s="22">
        <f>COUNTIFS(Data[CustomerID], M19)</f>
        <v>4</v>
      </c>
      <c r="P19" s="23">
        <f>SUMIFS(Data[Amount], Data[CustomerID], M19)</f>
        <v>1105.76</v>
      </c>
    </row>
    <row r="20" spans="1:16" x14ac:dyDescent="0.25">
      <c r="A20">
        <v>1683</v>
      </c>
      <c r="B20">
        <v>258</v>
      </c>
      <c r="C20" s="1">
        <v>44936</v>
      </c>
      <c r="D20">
        <v>329.07</v>
      </c>
      <c r="E20" t="s">
        <v>20</v>
      </c>
      <c r="F20" t="s">
        <v>16</v>
      </c>
      <c r="G20">
        <f>COUNTIF(Data[CustomerID], Data[[#This Row],[CustomerID]])</f>
        <v>3</v>
      </c>
      <c r="H20" s="1" t="str">
        <f>TEXT(Data[OrderDate],"yyyy-mmm")</f>
        <v>2023-Jan</v>
      </c>
      <c r="I20">
        <f>IF(
   COUNTIFS(
      Data[CustomerID], Data[[#This Row],[CustomerID]],
      Data[OrderDate], "&lt;" &amp; EOMONTH(Data[[#This Row],[OrderDate]], -1) + 1
   ) &gt; 0,
   1,
   0
)</f>
        <v>0</v>
      </c>
      <c r="J20">
        <f>YEAR(Data[[#This Row],[OrderDate]])</f>
        <v>2023</v>
      </c>
      <c r="K20" s="2">
        <f>MONTH(Data[[#This Row],[OrderDate]])</f>
        <v>1</v>
      </c>
      <c r="M20" s="12">
        <v>1095</v>
      </c>
      <c r="N20" s="21">
        <f>MAX(Data[OrderDate])-_xlfn.MAXIFS(Data[OrderDate],Data[CustomerID],M20)</f>
        <v>335</v>
      </c>
      <c r="O20" s="22">
        <f>COUNTIFS(Data[CustomerID], M20)</f>
        <v>3</v>
      </c>
      <c r="P20" s="23">
        <f>SUMIFS(Data[Amount], Data[CustomerID], M20)</f>
        <v>1067.51</v>
      </c>
    </row>
    <row r="21" spans="1:16" x14ac:dyDescent="0.25">
      <c r="A21">
        <v>1880</v>
      </c>
      <c r="B21">
        <v>367</v>
      </c>
      <c r="C21" s="1">
        <v>44937</v>
      </c>
      <c r="D21">
        <v>207.69</v>
      </c>
      <c r="E21" t="s">
        <v>6</v>
      </c>
      <c r="F21" t="s">
        <v>18</v>
      </c>
      <c r="G21">
        <f>COUNTIF(Data[CustomerID], Data[[#This Row],[CustomerID]])</f>
        <v>2</v>
      </c>
      <c r="H21" s="1" t="str">
        <f>TEXT(Data[OrderDate],"yyyy-mmm")</f>
        <v>2023-Jan</v>
      </c>
      <c r="I21">
        <f>IF(
   COUNTIFS(
      Data[CustomerID], Data[[#This Row],[CustomerID]],
      Data[OrderDate], "&lt;" &amp; EOMONTH(Data[[#This Row],[OrderDate]], -1) + 1
   ) &gt; 0,
   1,
   0
)</f>
        <v>0</v>
      </c>
      <c r="J21">
        <f>YEAR(Data[[#This Row],[OrderDate]])</f>
        <v>2023</v>
      </c>
      <c r="K21" s="2">
        <f>MONTH(Data[[#This Row],[OrderDate]])</f>
        <v>1</v>
      </c>
      <c r="M21" s="12">
        <v>1797</v>
      </c>
      <c r="N21" s="21">
        <f>MAX(Data[OrderDate])-_xlfn.MAXIFS(Data[OrderDate],Data[CustomerID],M21)</f>
        <v>94</v>
      </c>
      <c r="O21" s="22">
        <f>COUNTIFS(Data[CustomerID], M21)</f>
        <v>4</v>
      </c>
      <c r="P21" s="23">
        <f>SUMIFS(Data[Amount], Data[CustomerID], M21)</f>
        <v>1047.93</v>
      </c>
    </row>
    <row r="22" spans="1:16" x14ac:dyDescent="0.25">
      <c r="A22">
        <v>1119</v>
      </c>
      <c r="B22">
        <v>600</v>
      </c>
      <c r="C22" s="1">
        <v>44937</v>
      </c>
      <c r="D22">
        <v>94.39</v>
      </c>
      <c r="E22" t="s">
        <v>15</v>
      </c>
      <c r="F22" t="s">
        <v>12</v>
      </c>
      <c r="G22">
        <f>COUNTIF(Data[CustomerID], Data[[#This Row],[CustomerID]])</f>
        <v>2</v>
      </c>
      <c r="H22" s="1" t="str">
        <f>TEXT(Data[OrderDate],"yyyy-mmm")</f>
        <v>2023-Jan</v>
      </c>
      <c r="I22">
        <f>IF(
   COUNTIFS(
      Data[CustomerID], Data[[#This Row],[CustomerID]],
      Data[OrderDate], "&lt;" &amp; EOMONTH(Data[[#This Row],[OrderDate]], -1) + 1
   ) &gt; 0,
   1,
   0
)</f>
        <v>0</v>
      </c>
      <c r="J22">
        <f>YEAR(Data[[#This Row],[OrderDate]])</f>
        <v>2023</v>
      </c>
      <c r="K22" s="2">
        <f>MONTH(Data[[#This Row],[OrderDate]])</f>
        <v>1</v>
      </c>
      <c r="M22" s="12">
        <v>1230</v>
      </c>
      <c r="N22" s="21">
        <f>MAX(Data[OrderDate])-_xlfn.MAXIFS(Data[OrderDate],Data[CustomerID],M22)</f>
        <v>174</v>
      </c>
      <c r="O22" s="22">
        <f>COUNTIFS(Data[CustomerID], M22)</f>
        <v>3</v>
      </c>
      <c r="P22" s="23">
        <f>SUMIFS(Data[Amount], Data[CustomerID], M22)</f>
        <v>1036.76</v>
      </c>
    </row>
    <row r="23" spans="1:16" x14ac:dyDescent="0.25">
      <c r="A23">
        <v>1095</v>
      </c>
      <c r="B23">
        <v>761</v>
      </c>
      <c r="C23" s="1">
        <v>44937</v>
      </c>
      <c r="D23">
        <v>441.66</v>
      </c>
      <c r="E23" t="s">
        <v>9</v>
      </c>
      <c r="F23" t="s">
        <v>18</v>
      </c>
      <c r="G23">
        <f>COUNTIF(Data[CustomerID], Data[[#This Row],[CustomerID]])</f>
        <v>3</v>
      </c>
      <c r="H23" s="1" t="str">
        <f>TEXT(Data[OrderDate],"yyyy-mmm")</f>
        <v>2023-Jan</v>
      </c>
      <c r="I23">
        <f>IF(
   COUNTIFS(
      Data[CustomerID], Data[[#This Row],[CustomerID]],
      Data[OrderDate], "&lt;" &amp; EOMONTH(Data[[#This Row],[OrderDate]], -1) + 1
   ) &gt; 0,
   1,
   0
)</f>
        <v>0</v>
      </c>
      <c r="J23">
        <f>YEAR(Data[[#This Row],[OrderDate]])</f>
        <v>2023</v>
      </c>
      <c r="K23" s="2">
        <f>MONTH(Data[[#This Row],[OrderDate]])</f>
        <v>1</v>
      </c>
      <c r="M23" s="12">
        <v>1565</v>
      </c>
      <c r="N23" s="21">
        <f>MAX(Data[OrderDate])-_xlfn.MAXIFS(Data[OrderDate],Data[CustomerID],M23)</f>
        <v>91</v>
      </c>
      <c r="O23" s="22">
        <f>COUNTIFS(Data[CustomerID], M23)</f>
        <v>4</v>
      </c>
      <c r="P23" s="23">
        <f>SUMIFS(Data[Amount], Data[CustomerID], M23)</f>
        <v>1033.3499999999999</v>
      </c>
    </row>
    <row r="24" spans="1:16" x14ac:dyDescent="0.25">
      <c r="A24">
        <v>1749</v>
      </c>
      <c r="B24">
        <v>653</v>
      </c>
      <c r="C24" s="1">
        <v>44938</v>
      </c>
      <c r="D24">
        <v>195.76</v>
      </c>
      <c r="E24" t="s">
        <v>8</v>
      </c>
      <c r="F24" t="s">
        <v>7</v>
      </c>
      <c r="G24">
        <f>COUNTIF(Data[CustomerID], Data[[#This Row],[CustomerID]])</f>
        <v>2</v>
      </c>
      <c r="H24" s="1" t="str">
        <f>TEXT(Data[OrderDate],"yyyy-mmm")</f>
        <v>2023-Jan</v>
      </c>
      <c r="I24">
        <f>IF(
   COUNTIFS(
      Data[CustomerID], Data[[#This Row],[CustomerID]],
      Data[OrderDate], "&lt;" &amp; EOMONTH(Data[[#This Row],[OrderDate]], -1) + 1
   ) &gt; 0,
   1,
   0
)</f>
        <v>0</v>
      </c>
      <c r="J24">
        <f>YEAR(Data[[#This Row],[OrderDate]])</f>
        <v>2023</v>
      </c>
      <c r="K24" s="2">
        <f>MONTH(Data[[#This Row],[OrderDate]])</f>
        <v>1</v>
      </c>
      <c r="M24" s="12">
        <v>1633</v>
      </c>
      <c r="N24" s="21">
        <f>MAX(Data[OrderDate])-_xlfn.MAXIFS(Data[OrderDate],Data[CustomerID],M24)</f>
        <v>129</v>
      </c>
      <c r="O24" s="22">
        <f>COUNTIFS(Data[CustomerID], M24)</f>
        <v>3</v>
      </c>
      <c r="P24" s="23">
        <f>SUMIFS(Data[Amount], Data[CustomerID], M24)</f>
        <v>1009.1600000000001</v>
      </c>
    </row>
    <row r="25" spans="1:16" x14ac:dyDescent="0.25">
      <c r="A25">
        <v>1373</v>
      </c>
      <c r="B25">
        <v>262</v>
      </c>
      <c r="C25" s="1">
        <v>44939</v>
      </c>
      <c r="D25">
        <v>101.31</v>
      </c>
      <c r="E25" t="s">
        <v>11</v>
      </c>
      <c r="F25" t="s">
        <v>19</v>
      </c>
      <c r="G25">
        <f>COUNTIF(Data[CustomerID], Data[[#This Row],[CustomerID]])</f>
        <v>1</v>
      </c>
      <c r="H25" s="1" t="str">
        <f>TEXT(Data[OrderDate],"yyyy-mmm")</f>
        <v>2023-Jan</v>
      </c>
      <c r="I25">
        <f>IF(
   COUNTIFS(
      Data[CustomerID], Data[[#This Row],[CustomerID]],
      Data[OrderDate], "&lt;" &amp; EOMONTH(Data[[#This Row],[OrderDate]], -1) + 1
   ) &gt; 0,
   1,
   0
)</f>
        <v>0</v>
      </c>
      <c r="J25">
        <f>YEAR(Data[[#This Row],[OrderDate]])</f>
        <v>2023</v>
      </c>
      <c r="K25" s="2">
        <f>MONTH(Data[[#This Row],[OrderDate]])</f>
        <v>1</v>
      </c>
      <c r="M25" s="12">
        <v>1735</v>
      </c>
      <c r="N25" s="21">
        <f>MAX(Data[OrderDate])-_xlfn.MAXIFS(Data[OrderDate],Data[CustomerID],M25)</f>
        <v>136</v>
      </c>
      <c r="O25" s="22">
        <f>COUNTIFS(Data[CustomerID], M25)</f>
        <v>3</v>
      </c>
      <c r="P25" s="23">
        <f>SUMIFS(Data[Amount], Data[CustomerID], M25)</f>
        <v>986.05</v>
      </c>
    </row>
    <row r="26" spans="1:16" x14ac:dyDescent="0.25">
      <c r="A26">
        <v>1502</v>
      </c>
      <c r="B26">
        <v>162</v>
      </c>
      <c r="C26" s="1">
        <v>44941</v>
      </c>
      <c r="D26">
        <v>345.66</v>
      </c>
      <c r="E26" t="s">
        <v>8</v>
      </c>
      <c r="F26" t="s">
        <v>16</v>
      </c>
      <c r="G26">
        <f>COUNTIF(Data[CustomerID], Data[[#This Row],[CustomerID]])</f>
        <v>2</v>
      </c>
      <c r="H26" s="1" t="str">
        <f>TEXT(Data[OrderDate],"yyyy-mmm")</f>
        <v>2023-Jan</v>
      </c>
      <c r="I26">
        <f>IF(
   COUNTIFS(
      Data[CustomerID], Data[[#This Row],[CustomerID]],
      Data[OrderDate], "&lt;" &amp; EOMONTH(Data[[#This Row],[OrderDate]], -1) + 1
   ) &gt; 0,
   1,
   0
)</f>
        <v>0</v>
      </c>
      <c r="J26">
        <f>YEAR(Data[[#This Row],[OrderDate]])</f>
        <v>2023</v>
      </c>
      <c r="K26" s="2">
        <f>MONTH(Data[[#This Row],[OrderDate]])</f>
        <v>1</v>
      </c>
      <c r="M26" s="12">
        <v>1224</v>
      </c>
      <c r="N26" s="21">
        <f>MAX(Data[OrderDate])-_xlfn.MAXIFS(Data[OrderDate],Data[CustomerID],M26)</f>
        <v>400</v>
      </c>
      <c r="O26" s="22">
        <f>COUNTIFS(Data[CustomerID], M26)</f>
        <v>3</v>
      </c>
      <c r="P26" s="23">
        <f>SUMIFS(Data[Amount], Data[CustomerID], M26)</f>
        <v>982.35</v>
      </c>
    </row>
    <row r="27" spans="1:16" x14ac:dyDescent="0.25">
      <c r="A27">
        <v>1463</v>
      </c>
      <c r="B27">
        <v>327</v>
      </c>
      <c r="C27" s="1">
        <v>44941</v>
      </c>
      <c r="D27">
        <v>224.14</v>
      </c>
      <c r="E27" t="s">
        <v>8</v>
      </c>
      <c r="F27" t="s">
        <v>10</v>
      </c>
      <c r="G27">
        <f>COUNTIF(Data[CustomerID], Data[[#This Row],[CustomerID]])</f>
        <v>1</v>
      </c>
      <c r="H27" s="1" t="str">
        <f>TEXT(Data[OrderDate],"yyyy-mmm")</f>
        <v>2023-Jan</v>
      </c>
      <c r="I27">
        <f>IF(
   COUNTIFS(
      Data[CustomerID], Data[[#This Row],[CustomerID]],
      Data[OrderDate], "&lt;" &amp; EOMONTH(Data[[#This Row],[OrderDate]], -1) + 1
   ) &gt; 0,
   1,
   0
)</f>
        <v>0</v>
      </c>
      <c r="J27">
        <f>YEAR(Data[[#This Row],[OrderDate]])</f>
        <v>2023</v>
      </c>
      <c r="K27" s="2">
        <f>MONTH(Data[[#This Row],[OrderDate]])</f>
        <v>1</v>
      </c>
      <c r="M27" s="12">
        <v>1267</v>
      </c>
      <c r="N27" s="21">
        <f>MAX(Data[OrderDate])-_xlfn.MAXIFS(Data[OrderDate],Data[CustomerID],M27)</f>
        <v>351</v>
      </c>
      <c r="O27" s="22">
        <f>COUNTIFS(Data[CustomerID], M27)</f>
        <v>2</v>
      </c>
      <c r="P27" s="23">
        <f>SUMIFS(Data[Amount], Data[CustomerID], M27)</f>
        <v>978.41000000000008</v>
      </c>
    </row>
    <row r="28" spans="1:16" x14ac:dyDescent="0.25">
      <c r="A28">
        <v>1778</v>
      </c>
      <c r="B28">
        <v>351</v>
      </c>
      <c r="C28" s="1">
        <v>44941</v>
      </c>
      <c r="D28">
        <v>341.67</v>
      </c>
      <c r="E28" t="s">
        <v>15</v>
      </c>
      <c r="F28" t="s">
        <v>10</v>
      </c>
      <c r="G28">
        <f>COUNTIF(Data[CustomerID], Data[[#This Row],[CustomerID]])</f>
        <v>1</v>
      </c>
      <c r="H28" s="1" t="str">
        <f>TEXT(Data[OrderDate],"yyyy-mmm")</f>
        <v>2023-Jan</v>
      </c>
      <c r="I28">
        <f>IF(
   COUNTIFS(
      Data[CustomerID], Data[[#This Row],[CustomerID]],
      Data[OrderDate], "&lt;" &amp; EOMONTH(Data[[#This Row],[OrderDate]], -1) + 1
   ) &gt; 0,
   1,
   0
)</f>
        <v>0</v>
      </c>
      <c r="J28">
        <f>YEAR(Data[[#This Row],[OrderDate]])</f>
        <v>2023</v>
      </c>
      <c r="K28" s="2">
        <f>MONTH(Data[[#This Row],[OrderDate]])</f>
        <v>1</v>
      </c>
      <c r="M28" s="12">
        <v>1232</v>
      </c>
      <c r="N28" s="21">
        <f>MAX(Data[OrderDate])-_xlfn.MAXIFS(Data[OrderDate],Data[CustomerID],M28)</f>
        <v>10</v>
      </c>
      <c r="O28" s="22">
        <f>COUNTIFS(Data[CustomerID], M28)</f>
        <v>4</v>
      </c>
      <c r="P28" s="23">
        <f>SUMIFS(Data[Amount], Data[CustomerID], M28)</f>
        <v>973.76</v>
      </c>
    </row>
    <row r="29" spans="1:16" x14ac:dyDescent="0.25">
      <c r="A29">
        <v>1099</v>
      </c>
      <c r="B29">
        <v>673</v>
      </c>
      <c r="C29" s="1">
        <v>44942</v>
      </c>
      <c r="D29">
        <v>245.87</v>
      </c>
      <c r="E29" t="s">
        <v>20</v>
      </c>
      <c r="F29" t="s">
        <v>10</v>
      </c>
      <c r="G29">
        <f>COUNTIF(Data[CustomerID], Data[[#This Row],[CustomerID]])</f>
        <v>2</v>
      </c>
      <c r="H29" s="1" t="str">
        <f>TEXT(Data[OrderDate],"yyyy-mmm")</f>
        <v>2023-Jan</v>
      </c>
      <c r="I29">
        <f>IF(
   COUNTIFS(
      Data[CustomerID], Data[[#This Row],[CustomerID]],
      Data[OrderDate], "&lt;" &amp; EOMONTH(Data[[#This Row],[OrderDate]], -1) + 1
   ) &gt; 0,
   1,
   0
)</f>
        <v>0</v>
      </c>
      <c r="J29">
        <f>YEAR(Data[[#This Row],[OrderDate]])</f>
        <v>2023</v>
      </c>
      <c r="K29" s="2">
        <f>MONTH(Data[[#This Row],[OrderDate]])</f>
        <v>1</v>
      </c>
      <c r="M29" s="12">
        <v>1763</v>
      </c>
      <c r="N29" s="21">
        <f>MAX(Data[OrderDate])-_xlfn.MAXIFS(Data[OrderDate],Data[CustomerID],M29)</f>
        <v>73</v>
      </c>
      <c r="O29" s="22">
        <f>COUNTIFS(Data[CustomerID], M29)</f>
        <v>4</v>
      </c>
      <c r="P29" s="23">
        <f>SUMIFS(Data[Amount], Data[CustomerID], M29)</f>
        <v>971.32999999999993</v>
      </c>
    </row>
    <row r="30" spans="1:16" x14ac:dyDescent="0.25">
      <c r="A30">
        <v>1416</v>
      </c>
      <c r="B30">
        <v>710</v>
      </c>
      <c r="C30" s="1">
        <v>44942</v>
      </c>
      <c r="D30">
        <v>294.98</v>
      </c>
      <c r="E30" t="s">
        <v>17</v>
      </c>
      <c r="F30" t="s">
        <v>18</v>
      </c>
      <c r="G30">
        <f>COUNTIF(Data[CustomerID], Data[[#This Row],[CustomerID]])</f>
        <v>1</v>
      </c>
      <c r="H30" s="1" t="str">
        <f>TEXT(Data[OrderDate],"yyyy-mmm")</f>
        <v>2023-Jan</v>
      </c>
      <c r="I30">
        <f>IF(
   COUNTIFS(
      Data[CustomerID], Data[[#This Row],[CustomerID]],
      Data[OrderDate], "&lt;" &amp; EOMONTH(Data[[#This Row],[OrderDate]], -1) + 1
   ) &gt; 0,
   1,
   0
)</f>
        <v>0</v>
      </c>
      <c r="J30">
        <f>YEAR(Data[[#This Row],[OrderDate]])</f>
        <v>2023</v>
      </c>
      <c r="K30" s="2">
        <f>MONTH(Data[[#This Row],[OrderDate]])</f>
        <v>1</v>
      </c>
      <c r="M30" s="12">
        <v>1815</v>
      </c>
      <c r="N30" s="21">
        <f>MAX(Data[OrderDate])-_xlfn.MAXIFS(Data[OrderDate],Data[CustomerID],M30)</f>
        <v>30</v>
      </c>
      <c r="O30" s="22">
        <f>COUNTIFS(Data[CustomerID], M30)</f>
        <v>4</v>
      </c>
      <c r="P30" s="23">
        <f>SUMIFS(Data[Amount], Data[CustomerID], M30)</f>
        <v>950.4</v>
      </c>
    </row>
    <row r="31" spans="1:16" x14ac:dyDescent="0.25">
      <c r="A31">
        <v>1053</v>
      </c>
      <c r="B31">
        <v>571</v>
      </c>
      <c r="C31" s="1">
        <v>44943</v>
      </c>
      <c r="D31">
        <v>245.58</v>
      </c>
      <c r="E31" t="s">
        <v>13</v>
      </c>
      <c r="F31" t="s">
        <v>10</v>
      </c>
      <c r="G31">
        <f>COUNTIF(Data[CustomerID], Data[[#This Row],[CustomerID]])</f>
        <v>2</v>
      </c>
      <c r="H31" s="1" t="str">
        <f>TEXT(Data[OrderDate],"yyyy-mmm")</f>
        <v>2023-Jan</v>
      </c>
      <c r="I31">
        <f>IF(
   COUNTIFS(
      Data[CustomerID], Data[[#This Row],[CustomerID]],
      Data[OrderDate], "&lt;" &amp; EOMONTH(Data[[#This Row],[OrderDate]], -1) + 1
   ) &gt; 0,
   1,
   0
)</f>
        <v>0</v>
      </c>
      <c r="J31">
        <f>YEAR(Data[[#This Row],[OrderDate]])</f>
        <v>2023</v>
      </c>
      <c r="K31" s="2">
        <f>MONTH(Data[[#This Row],[OrderDate]])</f>
        <v>1</v>
      </c>
      <c r="M31" s="12">
        <v>1828</v>
      </c>
      <c r="N31" s="21">
        <f>MAX(Data[OrderDate])-_xlfn.MAXIFS(Data[OrderDate],Data[CustomerID],M31)</f>
        <v>233</v>
      </c>
      <c r="O31" s="22">
        <f>COUNTIFS(Data[CustomerID], M31)</f>
        <v>3</v>
      </c>
      <c r="P31" s="23">
        <f>SUMIFS(Data[Amount], Data[CustomerID], M31)</f>
        <v>946.99</v>
      </c>
    </row>
    <row r="32" spans="1:16" x14ac:dyDescent="0.25">
      <c r="A32">
        <v>1896</v>
      </c>
      <c r="B32">
        <v>629</v>
      </c>
      <c r="C32" s="1">
        <v>44943</v>
      </c>
      <c r="D32">
        <v>142.56</v>
      </c>
      <c r="E32" t="s">
        <v>13</v>
      </c>
      <c r="F32" t="s">
        <v>18</v>
      </c>
      <c r="G32">
        <f>COUNTIF(Data[CustomerID], Data[[#This Row],[CustomerID]])</f>
        <v>2</v>
      </c>
      <c r="H32" s="1" t="str">
        <f>TEXT(Data[OrderDate],"yyyy-mmm")</f>
        <v>2023-Jan</v>
      </c>
      <c r="I32">
        <f>IF(
   COUNTIFS(
      Data[CustomerID], Data[[#This Row],[CustomerID]],
      Data[OrderDate], "&lt;" &amp; EOMONTH(Data[[#This Row],[OrderDate]], -1) + 1
   ) &gt; 0,
   1,
   0
)</f>
        <v>0</v>
      </c>
      <c r="J32">
        <f>YEAR(Data[[#This Row],[OrderDate]])</f>
        <v>2023</v>
      </c>
      <c r="K32" s="2">
        <f>MONTH(Data[[#This Row],[OrderDate]])</f>
        <v>1</v>
      </c>
      <c r="M32" s="12">
        <v>1452</v>
      </c>
      <c r="N32" s="21">
        <f>MAX(Data[OrderDate])-_xlfn.MAXIFS(Data[OrderDate],Data[CustomerID],M32)</f>
        <v>108</v>
      </c>
      <c r="O32" s="22">
        <f>COUNTIFS(Data[CustomerID], M32)</f>
        <v>3</v>
      </c>
      <c r="P32" s="23">
        <f>SUMIFS(Data[Amount], Data[CustomerID], M32)</f>
        <v>943.02</v>
      </c>
    </row>
    <row r="33" spans="1:16" x14ac:dyDescent="0.25">
      <c r="A33">
        <v>1219</v>
      </c>
      <c r="B33">
        <v>649</v>
      </c>
      <c r="C33" s="1">
        <v>44943</v>
      </c>
      <c r="D33">
        <v>421.78</v>
      </c>
      <c r="E33" t="s">
        <v>13</v>
      </c>
      <c r="F33" t="s">
        <v>16</v>
      </c>
      <c r="G33">
        <f>COUNTIF(Data[CustomerID], Data[[#This Row],[CustomerID]])</f>
        <v>4</v>
      </c>
      <c r="H33" s="1" t="str">
        <f>TEXT(Data[OrderDate],"yyyy-mmm")</f>
        <v>2023-Jan</v>
      </c>
      <c r="I33">
        <f>IF(
   COUNTIFS(
      Data[CustomerID], Data[[#This Row],[CustomerID]],
      Data[OrderDate], "&lt;" &amp; EOMONTH(Data[[#This Row],[OrderDate]], -1) + 1
   ) &gt; 0,
   1,
   0
)</f>
        <v>0</v>
      </c>
      <c r="J33">
        <f>YEAR(Data[[#This Row],[OrderDate]])</f>
        <v>2023</v>
      </c>
      <c r="K33" s="2">
        <f>MONTH(Data[[#This Row],[OrderDate]])</f>
        <v>1</v>
      </c>
      <c r="M33" s="12">
        <v>1038</v>
      </c>
      <c r="N33" s="21">
        <f>MAX(Data[OrderDate])-_xlfn.MAXIFS(Data[OrderDate],Data[CustomerID],M33)</f>
        <v>415</v>
      </c>
      <c r="O33" s="22">
        <f>COUNTIFS(Data[CustomerID], M33)</f>
        <v>3</v>
      </c>
      <c r="P33" s="23">
        <f>SUMIFS(Data[Amount], Data[CustomerID], M33)</f>
        <v>913.53</v>
      </c>
    </row>
    <row r="34" spans="1:16" x14ac:dyDescent="0.25">
      <c r="A34">
        <v>1652</v>
      </c>
      <c r="B34">
        <v>886</v>
      </c>
      <c r="C34" s="1">
        <v>44943</v>
      </c>
      <c r="D34">
        <v>160.46</v>
      </c>
      <c r="E34" t="s">
        <v>6</v>
      </c>
      <c r="F34" t="s">
        <v>18</v>
      </c>
      <c r="G34">
        <f>COUNTIF(Data[CustomerID], Data[[#This Row],[CustomerID]])</f>
        <v>2</v>
      </c>
      <c r="H34" s="1" t="str">
        <f>TEXT(Data[OrderDate],"yyyy-mmm")</f>
        <v>2023-Jan</v>
      </c>
      <c r="I34">
        <f>IF(
   COUNTIFS(
      Data[CustomerID], Data[[#This Row],[CustomerID]],
      Data[OrderDate], "&lt;" &amp; EOMONTH(Data[[#This Row],[OrderDate]], -1) + 1
   ) &gt; 0,
   1,
   0
)</f>
        <v>0</v>
      </c>
      <c r="J34">
        <f>YEAR(Data[[#This Row],[OrderDate]])</f>
        <v>2023</v>
      </c>
      <c r="K34" s="2">
        <f>MONTH(Data[[#This Row],[OrderDate]])</f>
        <v>1</v>
      </c>
      <c r="M34" s="12">
        <v>1895</v>
      </c>
      <c r="N34" s="21">
        <f>MAX(Data[OrderDate])-_xlfn.MAXIFS(Data[OrderDate],Data[CustomerID],M34)</f>
        <v>39</v>
      </c>
      <c r="O34" s="22">
        <f>COUNTIFS(Data[CustomerID], M34)</f>
        <v>3</v>
      </c>
      <c r="P34" s="23">
        <f>SUMIFS(Data[Amount], Data[CustomerID], M34)</f>
        <v>897.03</v>
      </c>
    </row>
    <row r="35" spans="1:16" x14ac:dyDescent="0.25">
      <c r="A35">
        <v>1116</v>
      </c>
      <c r="B35">
        <v>911</v>
      </c>
      <c r="C35" s="1">
        <v>44943</v>
      </c>
      <c r="D35">
        <v>342.43</v>
      </c>
      <c r="E35" t="s">
        <v>11</v>
      </c>
      <c r="F35" t="s">
        <v>10</v>
      </c>
      <c r="G35">
        <f>COUNTIF(Data[CustomerID], Data[[#This Row],[CustomerID]])</f>
        <v>2</v>
      </c>
      <c r="H35" s="1" t="str">
        <f>TEXT(Data[OrderDate],"yyyy-mmm")</f>
        <v>2023-Jan</v>
      </c>
      <c r="I35">
        <f>IF(
   COUNTIFS(
      Data[CustomerID], Data[[#This Row],[CustomerID]],
      Data[OrderDate], "&lt;" &amp; EOMONTH(Data[[#This Row],[OrderDate]], -1) + 1
   ) &gt; 0,
   1,
   0
)</f>
        <v>0</v>
      </c>
      <c r="J35">
        <f>YEAR(Data[[#This Row],[OrderDate]])</f>
        <v>2023</v>
      </c>
      <c r="K35" s="2">
        <f>MONTH(Data[[#This Row],[OrderDate]])</f>
        <v>1</v>
      </c>
      <c r="M35" s="12">
        <v>1341</v>
      </c>
      <c r="N35" s="21">
        <f>MAX(Data[OrderDate])-_xlfn.MAXIFS(Data[OrderDate],Data[CustomerID],M35)</f>
        <v>0</v>
      </c>
      <c r="O35" s="22">
        <f>COUNTIFS(Data[CustomerID], M35)</f>
        <v>3</v>
      </c>
      <c r="P35" s="23">
        <f>SUMIFS(Data[Amount], Data[CustomerID], M35)</f>
        <v>895.34</v>
      </c>
    </row>
    <row r="36" spans="1:16" x14ac:dyDescent="0.25">
      <c r="A36">
        <v>1219</v>
      </c>
      <c r="B36">
        <v>467</v>
      </c>
      <c r="C36" s="1">
        <v>44944</v>
      </c>
      <c r="D36">
        <v>118.3</v>
      </c>
      <c r="E36" t="s">
        <v>15</v>
      </c>
      <c r="F36" t="s">
        <v>14</v>
      </c>
      <c r="G36">
        <f>COUNTIF(Data[CustomerID], Data[[#This Row],[CustomerID]])</f>
        <v>4</v>
      </c>
      <c r="H36" s="1" t="str">
        <f>TEXT(Data[OrderDate],"yyyy-mmm")</f>
        <v>2023-Jan</v>
      </c>
      <c r="I36">
        <f>IF(
   COUNTIFS(
      Data[CustomerID], Data[[#This Row],[CustomerID]],
      Data[OrderDate], "&lt;" &amp; EOMONTH(Data[[#This Row],[OrderDate]], -1) + 1
   ) &gt; 0,
   1,
   0
)</f>
        <v>0</v>
      </c>
      <c r="J36">
        <f>YEAR(Data[[#This Row],[OrderDate]])</f>
        <v>2023</v>
      </c>
      <c r="K36" s="2">
        <f>MONTH(Data[[#This Row],[OrderDate]])</f>
        <v>1</v>
      </c>
      <c r="M36" s="12">
        <v>1112</v>
      </c>
      <c r="N36" s="21">
        <f>MAX(Data[OrderDate])-_xlfn.MAXIFS(Data[OrderDate],Data[CustomerID],M36)</f>
        <v>87</v>
      </c>
      <c r="O36" s="22">
        <f>COUNTIFS(Data[CustomerID], M36)</f>
        <v>3</v>
      </c>
      <c r="P36" s="23">
        <f>SUMIFS(Data[Amount], Data[CustomerID], M36)</f>
        <v>884.5</v>
      </c>
    </row>
    <row r="37" spans="1:16" x14ac:dyDescent="0.25">
      <c r="A37">
        <v>1171</v>
      </c>
      <c r="B37">
        <v>466</v>
      </c>
      <c r="C37" s="1">
        <v>44945</v>
      </c>
      <c r="D37">
        <v>318.43</v>
      </c>
      <c r="E37" t="s">
        <v>6</v>
      </c>
      <c r="F37" t="s">
        <v>7</v>
      </c>
      <c r="G37">
        <f>COUNTIF(Data[CustomerID], Data[[#This Row],[CustomerID]])</f>
        <v>1</v>
      </c>
      <c r="H37" s="1" t="str">
        <f>TEXT(Data[OrderDate],"yyyy-mmm")</f>
        <v>2023-Jan</v>
      </c>
      <c r="I37">
        <f>IF(
   COUNTIFS(
      Data[CustomerID], Data[[#This Row],[CustomerID]],
      Data[OrderDate], "&lt;" &amp; EOMONTH(Data[[#This Row],[OrderDate]], -1) + 1
   ) &gt; 0,
   1,
   0
)</f>
        <v>0</v>
      </c>
      <c r="J37">
        <f>YEAR(Data[[#This Row],[OrderDate]])</f>
        <v>2023</v>
      </c>
      <c r="K37" s="2">
        <f>MONTH(Data[[#This Row],[OrderDate]])</f>
        <v>1</v>
      </c>
      <c r="M37" s="12">
        <v>1681</v>
      </c>
      <c r="N37" s="21">
        <f>MAX(Data[OrderDate])-_xlfn.MAXIFS(Data[OrderDate],Data[CustomerID],M37)</f>
        <v>149</v>
      </c>
      <c r="O37" s="22">
        <f>COUNTIFS(Data[CustomerID], M37)</f>
        <v>4</v>
      </c>
      <c r="P37" s="23">
        <f>SUMIFS(Data[Amount], Data[CustomerID], M37)</f>
        <v>882.83</v>
      </c>
    </row>
    <row r="38" spans="1:16" x14ac:dyDescent="0.25">
      <c r="A38">
        <v>1176</v>
      </c>
      <c r="B38">
        <v>786</v>
      </c>
      <c r="C38" s="1">
        <v>44946</v>
      </c>
      <c r="D38">
        <v>396.89</v>
      </c>
      <c r="E38" t="s">
        <v>17</v>
      </c>
      <c r="F38" t="s">
        <v>10</v>
      </c>
      <c r="G38">
        <f>COUNTIF(Data[CustomerID], Data[[#This Row],[CustomerID]])</f>
        <v>1</v>
      </c>
      <c r="H38" s="1" t="str">
        <f>TEXT(Data[OrderDate],"yyyy-mmm")</f>
        <v>2023-Jan</v>
      </c>
      <c r="I38">
        <f>IF(
   COUNTIFS(
      Data[CustomerID], Data[[#This Row],[CustomerID]],
      Data[OrderDate], "&lt;" &amp; EOMONTH(Data[[#This Row],[OrderDate]], -1) + 1
   ) &gt; 0,
   1,
   0
)</f>
        <v>0</v>
      </c>
      <c r="J38">
        <f>YEAR(Data[[#This Row],[OrderDate]])</f>
        <v>2023</v>
      </c>
      <c r="K38" s="2">
        <f>MONTH(Data[[#This Row],[OrderDate]])</f>
        <v>1</v>
      </c>
      <c r="M38" s="12">
        <v>1655</v>
      </c>
      <c r="N38" s="21">
        <f>MAX(Data[OrderDate])-_xlfn.MAXIFS(Data[OrderDate],Data[CustomerID],M38)</f>
        <v>265</v>
      </c>
      <c r="O38" s="22">
        <f>COUNTIFS(Data[CustomerID], M38)</f>
        <v>3</v>
      </c>
      <c r="P38" s="23">
        <f>SUMIFS(Data[Amount], Data[CustomerID], M38)</f>
        <v>879.47</v>
      </c>
    </row>
    <row r="39" spans="1:16" x14ac:dyDescent="0.25">
      <c r="A39">
        <v>1971</v>
      </c>
      <c r="B39">
        <v>954</v>
      </c>
      <c r="C39" s="1">
        <v>44947</v>
      </c>
      <c r="D39">
        <v>281.8</v>
      </c>
      <c r="E39" t="s">
        <v>20</v>
      </c>
      <c r="F39" t="s">
        <v>19</v>
      </c>
      <c r="G39">
        <f>COUNTIF(Data[CustomerID], Data[[#This Row],[CustomerID]])</f>
        <v>2</v>
      </c>
      <c r="H39" s="1" t="str">
        <f>TEXT(Data[OrderDate],"yyyy-mmm")</f>
        <v>2023-Jan</v>
      </c>
      <c r="I39">
        <f>IF(
   COUNTIFS(
      Data[CustomerID], Data[[#This Row],[CustomerID]],
      Data[OrderDate], "&lt;" &amp; EOMONTH(Data[[#This Row],[OrderDate]], -1) + 1
   ) &gt; 0,
   1,
   0
)</f>
        <v>0</v>
      </c>
      <c r="J39">
        <f>YEAR(Data[[#This Row],[OrderDate]])</f>
        <v>2023</v>
      </c>
      <c r="K39" s="2">
        <f>MONTH(Data[[#This Row],[OrderDate]])</f>
        <v>1</v>
      </c>
      <c r="M39" s="12">
        <v>1669</v>
      </c>
      <c r="N39" s="21">
        <f>MAX(Data[OrderDate])-_xlfn.MAXIFS(Data[OrderDate],Data[CustomerID],M39)</f>
        <v>544</v>
      </c>
      <c r="O39" s="22">
        <f>COUNTIFS(Data[CustomerID], M39)</f>
        <v>2</v>
      </c>
      <c r="P39" s="23">
        <f>SUMIFS(Data[Amount], Data[CustomerID], M39)</f>
        <v>878.79</v>
      </c>
    </row>
    <row r="40" spans="1:16" x14ac:dyDescent="0.25">
      <c r="A40">
        <v>1555</v>
      </c>
      <c r="B40">
        <v>914</v>
      </c>
      <c r="C40" s="1">
        <v>44948</v>
      </c>
      <c r="D40">
        <v>495.91</v>
      </c>
      <c r="E40" t="s">
        <v>20</v>
      </c>
      <c r="F40" t="s">
        <v>12</v>
      </c>
      <c r="G40">
        <f>COUNTIF(Data[CustomerID], Data[[#This Row],[CustomerID]])</f>
        <v>4</v>
      </c>
      <c r="H40" s="1" t="str">
        <f>TEXT(Data[OrderDate],"yyyy-mmm")</f>
        <v>2023-Jan</v>
      </c>
      <c r="I40">
        <f>IF(
   COUNTIFS(
      Data[CustomerID], Data[[#This Row],[CustomerID]],
      Data[OrderDate], "&lt;" &amp; EOMONTH(Data[[#This Row],[OrderDate]], -1) + 1
   ) &gt; 0,
   1,
   0
)</f>
        <v>0</v>
      </c>
      <c r="J40">
        <f>YEAR(Data[[#This Row],[OrderDate]])</f>
        <v>2023</v>
      </c>
      <c r="K40" s="2">
        <f>MONTH(Data[[#This Row],[OrderDate]])</f>
        <v>1</v>
      </c>
      <c r="M40" s="12">
        <v>1675</v>
      </c>
      <c r="N40" s="21">
        <f>MAX(Data[OrderDate])-_xlfn.MAXIFS(Data[OrderDate],Data[CustomerID],M40)</f>
        <v>268</v>
      </c>
      <c r="O40" s="22">
        <f>COUNTIFS(Data[CustomerID], M40)</f>
        <v>3</v>
      </c>
      <c r="P40" s="23">
        <f>SUMIFS(Data[Amount], Data[CustomerID], M40)</f>
        <v>870.77</v>
      </c>
    </row>
    <row r="41" spans="1:16" x14ac:dyDescent="0.25">
      <c r="A41">
        <v>1011</v>
      </c>
      <c r="B41">
        <v>948</v>
      </c>
      <c r="C41" s="1">
        <v>44948</v>
      </c>
      <c r="D41">
        <v>486.52</v>
      </c>
      <c r="E41" t="s">
        <v>11</v>
      </c>
      <c r="F41" t="s">
        <v>16</v>
      </c>
      <c r="G41">
        <f>COUNTIF(Data[CustomerID], Data[[#This Row],[CustomerID]])</f>
        <v>2</v>
      </c>
      <c r="H41" s="1" t="str">
        <f>TEXT(Data[OrderDate],"yyyy-mmm")</f>
        <v>2023-Jan</v>
      </c>
      <c r="I41">
        <f>IF(
   COUNTIFS(
      Data[CustomerID], Data[[#This Row],[CustomerID]],
      Data[OrderDate], "&lt;" &amp; EOMONTH(Data[[#This Row],[OrderDate]], -1) + 1
   ) &gt; 0,
   1,
   0
)</f>
        <v>0</v>
      </c>
      <c r="J41">
        <f>YEAR(Data[[#This Row],[OrderDate]])</f>
        <v>2023</v>
      </c>
      <c r="K41" s="2">
        <f>MONTH(Data[[#This Row],[OrderDate]])</f>
        <v>1</v>
      </c>
      <c r="M41" s="12">
        <v>1008</v>
      </c>
      <c r="N41" s="21">
        <f>MAX(Data[OrderDate])-_xlfn.MAXIFS(Data[OrderDate],Data[CustomerID],M41)</f>
        <v>482</v>
      </c>
      <c r="O41" s="22">
        <f>COUNTIFS(Data[CustomerID], M41)</f>
        <v>2</v>
      </c>
      <c r="P41" s="23">
        <f>SUMIFS(Data[Amount], Data[CustomerID], M41)</f>
        <v>867.16</v>
      </c>
    </row>
    <row r="42" spans="1:16" x14ac:dyDescent="0.25">
      <c r="A42">
        <v>1343</v>
      </c>
      <c r="B42">
        <v>24</v>
      </c>
      <c r="C42" s="1">
        <v>44949</v>
      </c>
      <c r="D42">
        <v>40.85</v>
      </c>
      <c r="E42" t="s">
        <v>13</v>
      </c>
      <c r="F42" t="s">
        <v>16</v>
      </c>
      <c r="G42">
        <f>COUNTIF(Data[CustomerID], Data[[#This Row],[CustomerID]])</f>
        <v>2</v>
      </c>
      <c r="H42" s="1" t="str">
        <f>TEXT(Data[OrderDate],"yyyy-mmm")</f>
        <v>2023-Jan</v>
      </c>
      <c r="I42">
        <f>IF(
   COUNTIFS(
      Data[CustomerID], Data[[#This Row],[CustomerID]],
      Data[OrderDate], "&lt;" &amp; EOMONTH(Data[[#This Row],[OrderDate]], -1) + 1
   ) &gt; 0,
   1,
   0
)</f>
        <v>0</v>
      </c>
      <c r="J42">
        <f>YEAR(Data[[#This Row],[OrderDate]])</f>
        <v>2023</v>
      </c>
      <c r="K42" s="2">
        <f>MONTH(Data[[#This Row],[OrderDate]])</f>
        <v>1</v>
      </c>
      <c r="M42" s="12">
        <v>1509</v>
      </c>
      <c r="N42" s="21">
        <f>MAX(Data[OrderDate])-_xlfn.MAXIFS(Data[OrderDate],Data[CustomerID],M42)</f>
        <v>78</v>
      </c>
      <c r="O42" s="22">
        <f>COUNTIFS(Data[CustomerID], M42)</f>
        <v>2</v>
      </c>
      <c r="P42" s="23">
        <f>SUMIFS(Data[Amount], Data[CustomerID], M42)</f>
        <v>849.77</v>
      </c>
    </row>
    <row r="43" spans="1:16" x14ac:dyDescent="0.25">
      <c r="A43">
        <v>1400</v>
      </c>
      <c r="B43">
        <v>309</v>
      </c>
      <c r="C43" s="1">
        <v>44949</v>
      </c>
      <c r="D43">
        <v>214.85</v>
      </c>
      <c r="E43" t="s">
        <v>11</v>
      </c>
      <c r="F43" t="s">
        <v>18</v>
      </c>
      <c r="G43">
        <f>COUNTIF(Data[CustomerID], Data[[#This Row],[CustomerID]])</f>
        <v>2</v>
      </c>
      <c r="H43" s="1" t="str">
        <f>TEXT(Data[OrderDate],"yyyy-mmm")</f>
        <v>2023-Jan</v>
      </c>
      <c r="I43">
        <f>IF(
   COUNTIFS(
      Data[CustomerID], Data[[#This Row],[CustomerID]],
      Data[OrderDate], "&lt;" &amp; EOMONTH(Data[[#This Row],[OrderDate]], -1) + 1
   ) &gt; 0,
   1,
   0
)</f>
        <v>0</v>
      </c>
      <c r="J43">
        <f>YEAR(Data[[#This Row],[OrderDate]])</f>
        <v>2023</v>
      </c>
      <c r="K43" s="2">
        <f>MONTH(Data[[#This Row],[OrderDate]])</f>
        <v>1</v>
      </c>
      <c r="M43" s="12">
        <v>1662</v>
      </c>
      <c r="N43" s="21">
        <f>MAX(Data[OrderDate])-_xlfn.MAXIFS(Data[OrderDate],Data[CustomerID],M43)</f>
        <v>248</v>
      </c>
      <c r="O43" s="22">
        <f>COUNTIFS(Data[CustomerID], M43)</f>
        <v>2</v>
      </c>
      <c r="P43" s="23">
        <f>SUMIFS(Data[Amount], Data[CustomerID], M43)</f>
        <v>845.27</v>
      </c>
    </row>
    <row r="44" spans="1:16" x14ac:dyDescent="0.25">
      <c r="A44">
        <v>1253</v>
      </c>
      <c r="B44">
        <v>371</v>
      </c>
      <c r="C44" s="1">
        <v>44949</v>
      </c>
      <c r="D44">
        <v>153.91999999999999</v>
      </c>
      <c r="E44" t="s">
        <v>11</v>
      </c>
      <c r="F44" t="s">
        <v>16</v>
      </c>
      <c r="G44">
        <f>COUNTIF(Data[CustomerID], Data[[#This Row],[CustomerID]])</f>
        <v>3</v>
      </c>
      <c r="H44" s="1" t="str">
        <f>TEXT(Data[OrderDate],"yyyy-mmm")</f>
        <v>2023-Jan</v>
      </c>
      <c r="I44">
        <f>IF(
   COUNTIFS(
      Data[CustomerID], Data[[#This Row],[CustomerID]],
      Data[OrderDate], "&lt;" &amp; EOMONTH(Data[[#This Row],[OrderDate]], -1) + 1
   ) &gt; 0,
   1,
   0
)</f>
        <v>0</v>
      </c>
      <c r="J44">
        <f>YEAR(Data[[#This Row],[OrderDate]])</f>
        <v>2023</v>
      </c>
      <c r="K44" s="2">
        <f>MONTH(Data[[#This Row],[OrderDate]])</f>
        <v>1</v>
      </c>
      <c r="M44" s="12">
        <v>1884</v>
      </c>
      <c r="N44" s="21">
        <f>MAX(Data[OrderDate])-_xlfn.MAXIFS(Data[OrderDate],Data[CustomerID],M44)</f>
        <v>377</v>
      </c>
      <c r="O44" s="22">
        <f>COUNTIFS(Data[CustomerID], M44)</f>
        <v>2</v>
      </c>
      <c r="P44" s="23">
        <f>SUMIFS(Data[Amount], Data[CustomerID], M44)</f>
        <v>839.33999999999992</v>
      </c>
    </row>
    <row r="45" spans="1:16" x14ac:dyDescent="0.25">
      <c r="A45">
        <v>1461</v>
      </c>
      <c r="B45">
        <v>177</v>
      </c>
      <c r="C45" s="1">
        <v>44951</v>
      </c>
      <c r="D45">
        <v>470.21</v>
      </c>
      <c r="E45" t="s">
        <v>13</v>
      </c>
      <c r="F45" t="s">
        <v>14</v>
      </c>
      <c r="G45">
        <f>COUNTIF(Data[CustomerID], Data[[#This Row],[CustomerID]])</f>
        <v>2</v>
      </c>
      <c r="H45" s="1" t="str">
        <f>TEXT(Data[OrderDate],"yyyy-mmm")</f>
        <v>2023-Jan</v>
      </c>
      <c r="I45">
        <f>IF(
   COUNTIFS(
      Data[CustomerID], Data[[#This Row],[CustomerID]],
      Data[OrderDate], "&lt;" &amp; EOMONTH(Data[[#This Row],[OrderDate]], -1) + 1
   ) &gt; 0,
   1,
   0
)</f>
        <v>0</v>
      </c>
      <c r="J45">
        <f>YEAR(Data[[#This Row],[OrderDate]])</f>
        <v>2023</v>
      </c>
      <c r="K45" s="2">
        <f>MONTH(Data[[#This Row],[OrderDate]])</f>
        <v>1</v>
      </c>
      <c r="M45" s="12">
        <v>1510</v>
      </c>
      <c r="N45" s="21">
        <f>MAX(Data[OrderDate])-_xlfn.MAXIFS(Data[OrderDate],Data[CustomerID],M45)</f>
        <v>143</v>
      </c>
      <c r="O45" s="22">
        <f>COUNTIFS(Data[CustomerID], M45)</f>
        <v>4</v>
      </c>
      <c r="P45" s="23">
        <f>SUMIFS(Data[Amount], Data[CustomerID], M45)</f>
        <v>830.92000000000007</v>
      </c>
    </row>
    <row r="46" spans="1:16" x14ac:dyDescent="0.25">
      <c r="A46">
        <v>1032</v>
      </c>
      <c r="B46">
        <v>430</v>
      </c>
      <c r="C46" s="1">
        <v>44951</v>
      </c>
      <c r="D46">
        <v>162.18</v>
      </c>
      <c r="E46" t="s">
        <v>11</v>
      </c>
      <c r="F46" t="s">
        <v>7</v>
      </c>
      <c r="G46">
        <f>COUNTIF(Data[CustomerID], Data[[#This Row],[CustomerID]])</f>
        <v>2</v>
      </c>
      <c r="H46" s="1" t="str">
        <f>TEXT(Data[OrderDate],"yyyy-mmm")</f>
        <v>2023-Jan</v>
      </c>
      <c r="I46">
        <f>IF(
   COUNTIFS(
      Data[CustomerID], Data[[#This Row],[CustomerID]],
      Data[OrderDate], "&lt;" &amp; EOMONTH(Data[[#This Row],[OrderDate]], -1) + 1
   ) &gt; 0,
   1,
   0
)</f>
        <v>0</v>
      </c>
      <c r="J46">
        <f>YEAR(Data[[#This Row],[OrderDate]])</f>
        <v>2023</v>
      </c>
      <c r="K46" s="2">
        <f>MONTH(Data[[#This Row],[OrderDate]])</f>
        <v>1</v>
      </c>
      <c r="M46" s="12">
        <v>1891</v>
      </c>
      <c r="N46" s="21">
        <f>MAX(Data[OrderDate])-_xlfn.MAXIFS(Data[OrderDate],Data[CustomerID],M46)</f>
        <v>146</v>
      </c>
      <c r="O46" s="22">
        <f>COUNTIFS(Data[CustomerID], M46)</f>
        <v>2</v>
      </c>
      <c r="P46" s="23">
        <f>SUMIFS(Data[Amount], Data[CustomerID], M46)</f>
        <v>830.06999999999994</v>
      </c>
    </row>
    <row r="47" spans="1:16" x14ac:dyDescent="0.25">
      <c r="A47">
        <v>1580</v>
      </c>
      <c r="B47">
        <v>635</v>
      </c>
      <c r="C47" s="1">
        <v>44951</v>
      </c>
      <c r="D47">
        <v>408.48</v>
      </c>
      <c r="E47" t="s">
        <v>6</v>
      </c>
      <c r="F47" t="s">
        <v>12</v>
      </c>
      <c r="G47">
        <f>COUNTIF(Data[CustomerID], Data[[#This Row],[CustomerID]])</f>
        <v>1</v>
      </c>
      <c r="H47" s="1" t="str">
        <f>TEXT(Data[OrderDate],"yyyy-mmm")</f>
        <v>2023-Jan</v>
      </c>
      <c r="I47">
        <f>IF(
   COUNTIFS(
      Data[CustomerID], Data[[#This Row],[CustomerID]],
      Data[OrderDate], "&lt;" &amp; EOMONTH(Data[[#This Row],[OrderDate]], -1) + 1
   ) &gt; 0,
   1,
   0
)</f>
        <v>0</v>
      </c>
      <c r="J47">
        <f>YEAR(Data[[#This Row],[OrderDate]])</f>
        <v>2023</v>
      </c>
      <c r="K47" s="2">
        <f>MONTH(Data[[#This Row],[OrderDate]])</f>
        <v>1</v>
      </c>
      <c r="M47" s="12">
        <v>1085</v>
      </c>
      <c r="N47" s="21">
        <f>MAX(Data[OrderDate])-_xlfn.MAXIFS(Data[OrderDate],Data[CustomerID],M47)</f>
        <v>176</v>
      </c>
      <c r="O47" s="22">
        <f>COUNTIFS(Data[CustomerID], M47)</f>
        <v>2</v>
      </c>
      <c r="P47" s="23">
        <f>SUMIFS(Data[Amount], Data[CustomerID], M47)</f>
        <v>827.21</v>
      </c>
    </row>
    <row r="48" spans="1:16" x14ac:dyDescent="0.25">
      <c r="A48">
        <v>1838</v>
      </c>
      <c r="B48">
        <v>135</v>
      </c>
      <c r="C48" s="1">
        <v>44952</v>
      </c>
      <c r="D48">
        <v>77.150000000000006</v>
      </c>
      <c r="E48" t="s">
        <v>13</v>
      </c>
      <c r="F48" t="s">
        <v>18</v>
      </c>
      <c r="G48">
        <f>COUNTIF(Data[CustomerID], Data[[#This Row],[CustomerID]])</f>
        <v>2</v>
      </c>
      <c r="H48" s="1" t="str">
        <f>TEXT(Data[OrderDate],"yyyy-mmm")</f>
        <v>2023-Jan</v>
      </c>
      <c r="I48">
        <f>IF(
   COUNTIFS(
      Data[CustomerID], Data[[#This Row],[CustomerID]],
      Data[OrderDate], "&lt;" &amp; EOMONTH(Data[[#This Row],[OrderDate]], -1) + 1
   ) &gt; 0,
   1,
   0
)</f>
        <v>0</v>
      </c>
      <c r="J48">
        <f>YEAR(Data[[#This Row],[OrderDate]])</f>
        <v>2023</v>
      </c>
      <c r="K48" s="2">
        <f>MONTH(Data[[#This Row],[OrderDate]])</f>
        <v>1</v>
      </c>
      <c r="M48" s="12">
        <v>1791</v>
      </c>
      <c r="N48" s="21">
        <f>MAX(Data[OrderDate])-_xlfn.MAXIFS(Data[OrderDate],Data[CustomerID],M48)</f>
        <v>477</v>
      </c>
      <c r="O48" s="22">
        <f>COUNTIFS(Data[CustomerID], M48)</f>
        <v>3</v>
      </c>
      <c r="P48" s="23">
        <f>SUMIFS(Data[Amount], Data[CustomerID], M48)</f>
        <v>825.4</v>
      </c>
    </row>
    <row r="49" spans="1:16" x14ac:dyDescent="0.25">
      <c r="A49">
        <v>1472</v>
      </c>
      <c r="B49">
        <v>235</v>
      </c>
      <c r="C49" s="1">
        <v>44952</v>
      </c>
      <c r="D49">
        <v>323.08</v>
      </c>
      <c r="E49" t="s">
        <v>9</v>
      </c>
      <c r="F49" t="s">
        <v>12</v>
      </c>
      <c r="G49">
        <f>COUNTIF(Data[CustomerID], Data[[#This Row],[CustomerID]])</f>
        <v>3</v>
      </c>
      <c r="H49" s="1" t="str">
        <f>TEXT(Data[OrderDate],"yyyy-mmm")</f>
        <v>2023-Jan</v>
      </c>
      <c r="I49">
        <f>IF(
   COUNTIFS(
      Data[CustomerID], Data[[#This Row],[CustomerID]],
      Data[OrderDate], "&lt;" &amp; EOMONTH(Data[[#This Row],[OrderDate]], -1) + 1
   ) &gt; 0,
   1,
   0
)</f>
        <v>0</v>
      </c>
      <c r="J49">
        <f>YEAR(Data[[#This Row],[OrderDate]])</f>
        <v>2023</v>
      </c>
      <c r="K49" s="2">
        <f>MONTH(Data[[#This Row],[OrderDate]])</f>
        <v>1</v>
      </c>
      <c r="M49" s="12">
        <v>1385</v>
      </c>
      <c r="N49" s="21">
        <f>MAX(Data[OrderDate])-_xlfn.MAXIFS(Data[OrderDate],Data[CustomerID],M49)</f>
        <v>464</v>
      </c>
      <c r="O49" s="22">
        <f>COUNTIFS(Data[CustomerID], M49)</f>
        <v>3</v>
      </c>
      <c r="P49" s="23">
        <f>SUMIFS(Data[Amount], Data[CustomerID], M49)</f>
        <v>810.18000000000006</v>
      </c>
    </row>
    <row r="50" spans="1:16" x14ac:dyDescent="0.25">
      <c r="A50">
        <v>1004</v>
      </c>
      <c r="B50">
        <v>579</v>
      </c>
      <c r="C50" s="1">
        <v>44953</v>
      </c>
      <c r="D50">
        <v>52.03</v>
      </c>
      <c r="E50" t="s">
        <v>15</v>
      </c>
      <c r="F50" t="s">
        <v>10</v>
      </c>
      <c r="G50">
        <f>COUNTIF(Data[CustomerID], Data[[#This Row],[CustomerID]])</f>
        <v>2</v>
      </c>
      <c r="H50" s="1" t="str">
        <f>TEXT(Data[OrderDate],"yyyy-mmm")</f>
        <v>2023-Jan</v>
      </c>
      <c r="I50">
        <f>IF(
   COUNTIFS(
      Data[CustomerID], Data[[#This Row],[CustomerID]],
      Data[OrderDate], "&lt;" &amp; EOMONTH(Data[[#This Row],[OrderDate]], -1) + 1
   ) &gt; 0,
   1,
   0
)</f>
        <v>0</v>
      </c>
      <c r="J50">
        <f>YEAR(Data[[#This Row],[OrderDate]])</f>
        <v>2023</v>
      </c>
      <c r="K50" s="2">
        <f>MONTH(Data[[#This Row],[OrderDate]])</f>
        <v>1</v>
      </c>
      <c r="M50" s="12">
        <v>1407</v>
      </c>
      <c r="N50" s="21">
        <f>MAX(Data[OrderDate])-_xlfn.MAXIFS(Data[OrderDate],Data[CustomerID],M50)</f>
        <v>304</v>
      </c>
      <c r="O50" s="22">
        <f>COUNTIFS(Data[CustomerID], M50)</f>
        <v>2</v>
      </c>
      <c r="P50" s="23">
        <f>SUMIFS(Data[Amount], Data[CustomerID], M50)</f>
        <v>810.18000000000006</v>
      </c>
    </row>
    <row r="51" spans="1:16" x14ac:dyDescent="0.25">
      <c r="A51">
        <v>1723</v>
      </c>
      <c r="B51">
        <v>979</v>
      </c>
      <c r="C51" s="1">
        <v>44953</v>
      </c>
      <c r="D51">
        <v>419.89</v>
      </c>
      <c r="E51" t="s">
        <v>20</v>
      </c>
      <c r="F51" t="s">
        <v>10</v>
      </c>
      <c r="G51">
        <f>COUNTIF(Data[CustomerID], Data[[#This Row],[CustomerID]])</f>
        <v>1</v>
      </c>
      <c r="H51" s="1" t="str">
        <f>TEXT(Data[OrderDate],"yyyy-mmm")</f>
        <v>2023-Jan</v>
      </c>
      <c r="I51">
        <f>IF(
   COUNTIFS(
      Data[CustomerID], Data[[#This Row],[CustomerID]],
      Data[OrderDate], "&lt;" &amp; EOMONTH(Data[[#This Row],[OrderDate]], -1) + 1
   ) &gt; 0,
   1,
   0
)</f>
        <v>0</v>
      </c>
      <c r="J51">
        <f>YEAR(Data[[#This Row],[OrderDate]])</f>
        <v>2023</v>
      </c>
      <c r="K51" s="2">
        <f>MONTH(Data[[#This Row],[OrderDate]])</f>
        <v>1</v>
      </c>
      <c r="M51" s="12">
        <v>1795</v>
      </c>
      <c r="N51" s="21">
        <f>MAX(Data[OrderDate])-_xlfn.MAXIFS(Data[OrderDate],Data[CustomerID],M51)</f>
        <v>157</v>
      </c>
      <c r="O51" s="22">
        <f>COUNTIFS(Data[CustomerID], M51)</f>
        <v>3</v>
      </c>
      <c r="P51" s="23">
        <f>SUMIFS(Data[Amount], Data[CustomerID], M51)</f>
        <v>809.8</v>
      </c>
    </row>
    <row r="52" spans="1:16" x14ac:dyDescent="0.25">
      <c r="A52">
        <v>1674</v>
      </c>
      <c r="B52">
        <v>146</v>
      </c>
      <c r="C52" s="1">
        <v>44954</v>
      </c>
      <c r="D52">
        <v>354.17</v>
      </c>
      <c r="E52" t="s">
        <v>8</v>
      </c>
      <c r="F52" t="s">
        <v>12</v>
      </c>
      <c r="G52">
        <f>COUNTIF(Data[CustomerID], Data[[#This Row],[CustomerID]])</f>
        <v>2</v>
      </c>
      <c r="H52" s="1" t="str">
        <f>TEXT(Data[OrderDate],"yyyy-mmm")</f>
        <v>2023-Jan</v>
      </c>
      <c r="I52">
        <f>IF(
   COUNTIFS(
      Data[CustomerID], Data[[#This Row],[CustomerID]],
      Data[OrderDate], "&lt;" &amp; EOMONTH(Data[[#This Row],[OrderDate]], -1) + 1
   ) &gt; 0,
   1,
   0
)</f>
        <v>0</v>
      </c>
      <c r="J52">
        <f>YEAR(Data[[#This Row],[OrderDate]])</f>
        <v>2023</v>
      </c>
      <c r="K52" s="2">
        <f>MONTH(Data[[#This Row],[OrderDate]])</f>
        <v>1</v>
      </c>
      <c r="M52" s="12">
        <v>1995</v>
      </c>
      <c r="N52" s="21">
        <f>MAX(Data[OrderDate])-_xlfn.MAXIFS(Data[OrderDate],Data[CustomerID],M52)</f>
        <v>125</v>
      </c>
      <c r="O52" s="22">
        <f>COUNTIFS(Data[CustomerID], M52)</f>
        <v>2</v>
      </c>
      <c r="P52" s="23">
        <f>SUMIFS(Data[Amount], Data[CustomerID], M52)</f>
        <v>799.39</v>
      </c>
    </row>
    <row r="53" spans="1:16" x14ac:dyDescent="0.25">
      <c r="A53">
        <v>1804</v>
      </c>
      <c r="B53">
        <v>166</v>
      </c>
      <c r="C53" s="1">
        <v>44954</v>
      </c>
      <c r="D53">
        <v>13.6</v>
      </c>
      <c r="E53" t="s">
        <v>20</v>
      </c>
      <c r="F53" t="s">
        <v>7</v>
      </c>
      <c r="G53">
        <f>COUNTIF(Data[CustomerID], Data[[#This Row],[CustomerID]])</f>
        <v>1</v>
      </c>
      <c r="H53" s="1" t="str">
        <f>TEXT(Data[OrderDate],"yyyy-mmm")</f>
        <v>2023-Jan</v>
      </c>
      <c r="I53">
        <f>IF(
   COUNTIFS(
      Data[CustomerID], Data[[#This Row],[CustomerID]],
      Data[OrderDate], "&lt;" &amp; EOMONTH(Data[[#This Row],[OrderDate]], -1) + 1
   ) &gt; 0,
   1,
   0
)</f>
        <v>0</v>
      </c>
      <c r="J53">
        <f>YEAR(Data[[#This Row],[OrderDate]])</f>
        <v>2023</v>
      </c>
      <c r="K53" s="2">
        <f>MONTH(Data[[#This Row],[OrderDate]])</f>
        <v>1</v>
      </c>
      <c r="M53" s="12">
        <v>1871</v>
      </c>
      <c r="N53" s="21">
        <f>MAX(Data[OrderDate])-_xlfn.MAXIFS(Data[OrderDate],Data[CustomerID],M53)</f>
        <v>282</v>
      </c>
      <c r="O53" s="22">
        <f>COUNTIFS(Data[CustomerID], M53)</f>
        <v>5</v>
      </c>
      <c r="P53" s="23">
        <f>SUMIFS(Data[Amount], Data[CustomerID], M53)</f>
        <v>798.27</v>
      </c>
    </row>
    <row r="54" spans="1:16" x14ac:dyDescent="0.25">
      <c r="A54">
        <v>1967</v>
      </c>
      <c r="B54">
        <v>392</v>
      </c>
      <c r="C54" s="1">
        <v>44955</v>
      </c>
      <c r="D54">
        <v>174.13</v>
      </c>
      <c r="E54" t="s">
        <v>20</v>
      </c>
      <c r="F54" t="s">
        <v>14</v>
      </c>
      <c r="G54">
        <f>COUNTIF(Data[CustomerID], Data[[#This Row],[CustomerID]])</f>
        <v>2</v>
      </c>
      <c r="H54" s="1" t="str">
        <f>TEXT(Data[OrderDate],"yyyy-mmm")</f>
        <v>2023-Jan</v>
      </c>
      <c r="I54">
        <f>IF(
   COUNTIFS(
      Data[CustomerID], Data[[#This Row],[CustomerID]],
      Data[OrderDate], "&lt;" &amp; EOMONTH(Data[[#This Row],[OrderDate]], -1) + 1
   ) &gt; 0,
   1,
   0
)</f>
        <v>0</v>
      </c>
      <c r="J54">
        <f>YEAR(Data[[#This Row],[OrderDate]])</f>
        <v>2023</v>
      </c>
      <c r="K54" s="2">
        <f>MONTH(Data[[#This Row],[OrderDate]])</f>
        <v>1</v>
      </c>
      <c r="M54" s="12">
        <v>1202</v>
      </c>
      <c r="N54" s="21">
        <f>MAX(Data[OrderDate])-_xlfn.MAXIFS(Data[OrderDate],Data[CustomerID],M54)</f>
        <v>9</v>
      </c>
      <c r="O54" s="22">
        <f>COUNTIFS(Data[CustomerID], M54)</f>
        <v>2</v>
      </c>
      <c r="P54" s="23">
        <f>SUMIFS(Data[Amount], Data[CustomerID], M54)</f>
        <v>786.55</v>
      </c>
    </row>
    <row r="55" spans="1:16" x14ac:dyDescent="0.25">
      <c r="A55">
        <v>1124</v>
      </c>
      <c r="B55">
        <v>561</v>
      </c>
      <c r="C55" s="1">
        <v>44955</v>
      </c>
      <c r="D55">
        <v>131.43</v>
      </c>
      <c r="E55" t="s">
        <v>17</v>
      </c>
      <c r="F55" t="s">
        <v>18</v>
      </c>
      <c r="G55">
        <f>COUNTIF(Data[CustomerID], Data[[#This Row],[CustomerID]])</f>
        <v>1</v>
      </c>
      <c r="H55" s="1" t="str">
        <f>TEXT(Data[OrderDate],"yyyy-mmm")</f>
        <v>2023-Jan</v>
      </c>
      <c r="I55">
        <f>IF(
   COUNTIFS(
      Data[CustomerID], Data[[#This Row],[CustomerID]],
      Data[OrderDate], "&lt;" &amp; EOMONTH(Data[[#This Row],[OrderDate]], -1) + 1
   ) &gt; 0,
   1,
   0
)</f>
        <v>0</v>
      </c>
      <c r="J55">
        <f>YEAR(Data[[#This Row],[OrderDate]])</f>
        <v>2023</v>
      </c>
      <c r="K55" s="2">
        <f>MONTH(Data[[#This Row],[OrderDate]])</f>
        <v>1</v>
      </c>
      <c r="M55" s="12">
        <v>1159</v>
      </c>
      <c r="N55" s="21">
        <f>MAX(Data[OrderDate])-_xlfn.MAXIFS(Data[OrderDate],Data[CustomerID],M55)</f>
        <v>174</v>
      </c>
      <c r="O55" s="22">
        <f>COUNTIFS(Data[CustomerID], M55)</f>
        <v>3</v>
      </c>
      <c r="P55" s="23">
        <f>SUMIFS(Data[Amount], Data[CustomerID], M55)</f>
        <v>775.78</v>
      </c>
    </row>
    <row r="56" spans="1:16" x14ac:dyDescent="0.25">
      <c r="A56">
        <v>1669</v>
      </c>
      <c r="B56">
        <v>597</v>
      </c>
      <c r="C56" s="1">
        <v>44955</v>
      </c>
      <c r="D56">
        <v>489.31</v>
      </c>
      <c r="E56" t="s">
        <v>8</v>
      </c>
      <c r="F56" t="s">
        <v>16</v>
      </c>
      <c r="G56">
        <f>COUNTIF(Data[CustomerID], Data[[#This Row],[CustomerID]])</f>
        <v>2</v>
      </c>
      <c r="H56" s="1" t="str">
        <f>TEXT(Data[OrderDate],"yyyy-mmm")</f>
        <v>2023-Jan</v>
      </c>
      <c r="I56">
        <f>IF(
   COUNTIFS(
      Data[CustomerID], Data[[#This Row],[CustomerID]],
      Data[OrderDate], "&lt;" &amp; EOMONTH(Data[[#This Row],[OrderDate]], -1) + 1
   ) &gt; 0,
   1,
   0
)</f>
        <v>0</v>
      </c>
      <c r="J56">
        <f>YEAR(Data[[#This Row],[OrderDate]])</f>
        <v>2023</v>
      </c>
      <c r="K56" s="2">
        <f>MONTH(Data[[#This Row],[OrderDate]])</f>
        <v>1</v>
      </c>
      <c r="M56" s="12">
        <v>1829</v>
      </c>
      <c r="N56" s="21">
        <f>MAX(Data[OrderDate])-_xlfn.MAXIFS(Data[OrderDate],Data[CustomerID],M56)</f>
        <v>36</v>
      </c>
      <c r="O56" s="22">
        <f>COUNTIFS(Data[CustomerID], M56)</f>
        <v>2</v>
      </c>
      <c r="P56" s="23">
        <f>SUMIFS(Data[Amount], Data[CustomerID], M56)</f>
        <v>775.3</v>
      </c>
    </row>
    <row r="57" spans="1:16" x14ac:dyDescent="0.25">
      <c r="A57">
        <v>1726</v>
      </c>
      <c r="B57">
        <v>725</v>
      </c>
      <c r="C57" s="1">
        <v>44955</v>
      </c>
      <c r="D57">
        <v>29.67</v>
      </c>
      <c r="E57" t="s">
        <v>13</v>
      </c>
      <c r="F57" t="s">
        <v>14</v>
      </c>
      <c r="G57">
        <f>COUNTIF(Data[CustomerID], Data[[#This Row],[CustomerID]])</f>
        <v>3</v>
      </c>
      <c r="H57" s="1" t="str">
        <f>TEXT(Data[OrderDate],"yyyy-mmm")</f>
        <v>2023-Jan</v>
      </c>
      <c r="I57">
        <f>IF(
   COUNTIFS(
      Data[CustomerID], Data[[#This Row],[CustomerID]],
      Data[OrderDate], "&lt;" &amp; EOMONTH(Data[[#This Row],[OrderDate]], -1) + 1
   ) &gt; 0,
   1,
   0
)</f>
        <v>0</v>
      </c>
      <c r="J57">
        <f>YEAR(Data[[#This Row],[OrderDate]])</f>
        <v>2023</v>
      </c>
      <c r="K57" s="2">
        <f>MONTH(Data[[#This Row],[OrderDate]])</f>
        <v>1</v>
      </c>
      <c r="M57" s="12">
        <v>1384</v>
      </c>
      <c r="N57" s="21">
        <f>MAX(Data[OrderDate])-_xlfn.MAXIFS(Data[OrderDate],Data[CustomerID],M57)</f>
        <v>55</v>
      </c>
      <c r="O57" s="22">
        <f>COUNTIFS(Data[CustomerID], M57)</f>
        <v>2</v>
      </c>
      <c r="P57" s="23">
        <f>SUMIFS(Data[Amount], Data[CustomerID], M57)</f>
        <v>774.78</v>
      </c>
    </row>
    <row r="58" spans="1:16" x14ac:dyDescent="0.25">
      <c r="A58">
        <v>1675</v>
      </c>
      <c r="B58">
        <v>927</v>
      </c>
      <c r="C58" s="1">
        <v>44955</v>
      </c>
      <c r="D58">
        <v>404.66</v>
      </c>
      <c r="E58" t="s">
        <v>6</v>
      </c>
      <c r="F58" t="s">
        <v>12</v>
      </c>
      <c r="G58">
        <f>COUNTIF(Data[CustomerID], Data[[#This Row],[CustomerID]])</f>
        <v>3</v>
      </c>
      <c r="H58" s="1" t="str">
        <f>TEXT(Data[OrderDate],"yyyy-mmm")</f>
        <v>2023-Jan</v>
      </c>
      <c r="I58">
        <f>IF(
   COUNTIFS(
      Data[CustomerID], Data[[#This Row],[CustomerID]],
      Data[OrderDate], "&lt;" &amp; EOMONTH(Data[[#This Row],[OrderDate]], -1) + 1
   ) &gt; 0,
   1,
   0
)</f>
        <v>0</v>
      </c>
      <c r="J58">
        <f>YEAR(Data[[#This Row],[OrderDate]])</f>
        <v>2023</v>
      </c>
      <c r="K58" s="2">
        <f>MONTH(Data[[#This Row],[OrderDate]])</f>
        <v>1</v>
      </c>
      <c r="M58" s="12">
        <v>1697</v>
      </c>
      <c r="N58" s="21">
        <f>MAX(Data[OrderDate])-_xlfn.MAXIFS(Data[OrderDate],Data[CustomerID],M58)</f>
        <v>538</v>
      </c>
      <c r="O58" s="22">
        <f>COUNTIFS(Data[CustomerID], M58)</f>
        <v>2</v>
      </c>
      <c r="P58" s="23">
        <f>SUMIFS(Data[Amount], Data[CustomerID], M58)</f>
        <v>773.87</v>
      </c>
    </row>
    <row r="59" spans="1:16" x14ac:dyDescent="0.25">
      <c r="A59">
        <v>1326</v>
      </c>
      <c r="B59">
        <v>865</v>
      </c>
      <c r="C59" s="1">
        <v>44957</v>
      </c>
      <c r="D59">
        <v>363.97</v>
      </c>
      <c r="E59" t="s">
        <v>17</v>
      </c>
      <c r="F59" t="s">
        <v>10</v>
      </c>
      <c r="G59">
        <f>COUNTIF(Data[CustomerID], Data[[#This Row],[CustomerID]])</f>
        <v>1</v>
      </c>
      <c r="H59" s="1" t="str">
        <f>TEXT(Data[OrderDate],"yyyy-mmm")</f>
        <v>2023-Jan</v>
      </c>
      <c r="I59">
        <f>IF(
   COUNTIFS(
      Data[CustomerID], Data[[#This Row],[CustomerID]],
      Data[OrderDate], "&lt;" &amp; EOMONTH(Data[[#This Row],[OrderDate]], -1) + 1
   ) &gt; 0,
   1,
   0
)</f>
        <v>0</v>
      </c>
      <c r="J59">
        <f>YEAR(Data[[#This Row],[OrderDate]])</f>
        <v>2023</v>
      </c>
      <c r="K59" s="2">
        <f>MONTH(Data[[#This Row],[OrderDate]])</f>
        <v>1</v>
      </c>
      <c r="M59" s="12">
        <v>1036</v>
      </c>
      <c r="N59" s="21">
        <f>MAX(Data[OrderDate])-_xlfn.MAXIFS(Data[OrderDate],Data[CustomerID],M59)</f>
        <v>22</v>
      </c>
      <c r="O59" s="22">
        <f>COUNTIFS(Data[CustomerID], M59)</f>
        <v>3</v>
      </c>
      <c r="P59" s="23">
        <f>SUMIFS(Data[Amount], Data[CustomerID], M59)</f>
        <v>772.89</v>
      </c>
    </row>
    <row r="60" spans="1:16" x14ac:dyDescent="0.25">
      <c r="A60">
        <v>1828</v>
      </c>
      <c r="B60">
        <v>457</v>
      </c>
      <c r="C60" s="1">
        <v>44958</v>
      </c>
      <c r="D60">
        <v>152.19</v>
      </c>
      <c r="E60" t="s">
        <v>9</v>
      </c>
      <c r="F60" t="s">
        <v>19</v>
      </c>
      <c r="G60">
        <f>COUNTIF(Data[CustomerID], Data[[#This Row],[CustomerID]])</f>
        <v>3</v>
      </c>
      <c r="H60" s="1" t="str">
        <f>TEXT(Data[OrderDate],"yyyy-mmm")</f>
        <v>2023-Feb</v>
      </c>
      <c r="I60">
        <f>IF(
   COUNTIFS(
      Data[CustomerID], Data[[#This Row],[CustomerID]],
      Data[OrderDate], "&lt;" &amp; EOMONTH(Data[[#This Row],[OrderDate]], -1) + 1
   ) &gt; 0,
   1,
   0
)</f>
        <v>0</v>
      </c>
      <c r="J60">
        <f>YEAR(Data[[#This Row],[OrderDate]])</f>
        <v>2023</v>
      </c>
      <c r="K60" s="2">
        <f>MONTH(Data[[#This Row],[OrderDate]])</f>
        <v>2</v>
      </c>
      <c r="M60" s="12">
        <v>1253</v>
      </c>
      <c r="N60" s="21">
        <f>MAX(Data[OrderDate])-_xlfn.MAXIFS(Data[OrderDate],Data[CustomerID],M60)</f>
        <v>87</v>
      </c>
      <c r="O60" s="22">
        <f>COUNTIFS(Data[CustomerID], M60)</f>
        <v>3</v>
      </c>
      <c r="P60" s="23">
        <f>SUMIFS(Data[Amount], Data[CustomerID], M60)</f>
        <v>771.58999999999992</v>
      </c>
    </row>
    <row r="61" spans="1:16" x14ac:dyDescent="0.25">
      <c r="A61">
        <v>1226</v>
      </c>
      <c r="B61">
        <v>928</v>
      </c>
      <c r="C61" s="1">
        <v>44959</v>
      </c>
      <c r="D61">
        <v>34.25</v>
      </c>
      <c r="E61" t="s">
        <v>9</v>
      </c>
      <c r="F61" t="s">
        <v>19</v>
      </c>
      <c r="G61">
        <f>COUNTIF(Data[CustomerID], Data[[#This Row],[CustomerID]])</f>
        <v>2</v>
      </c>
      <c r="H61" s="1" t="str">
        <f>TEXT(Data[OrderDate],"yyyy-mmm")</f>
        <v>2023-Feb</v>
      </c>
      <c r="I61">
        <f>IF(
   COUNTIFS(
      Data[CustomerID], Data[[#This Row],[CustomerID]],
      Data[OrderDate], "&lt;" &amp; EOMONTH(Data[[#This Row],[OrderDate]], -1) + 1
   ) &gt; 0,
   1,
   0
)</f>
        <v>0</v>
      </c>
      <c r="J61">
        <f>YEAR(Data[[#This Row],[OrderDate]])</f>
        <v>2023</v>
      </c>
      <c r="K61" s="2">
        <f>MONTH(Data[[#This Row],[OrderDate]])</f>
        <v>2</v>
      </c>
      <c r="M61" s="12">
        <v>1748</v>
      </c>
      <c r="N61" s="21">
        <f>MAX(Data[OrderDate])-_xlfn.MAXIFS(Data[OrderDate],Data[CustomerID],M61)</f>
        <v>118</v>
      </c>
      <c r="O61" s="22">
        <f>COUNTIFS(Data[CustomerID], M61)</f>
        <v>2</v>
      </c>
      <c r="P61" s="23">
        <f>SUMIFS(Data[Amount], Data[CustomerID], M61)</f>
        <v>766.89</v>
      </c>
    </row>
    <row r="62" spans="1:16" x14ac:dyDescent="0.25">
      <c r="A62">
        <v>1560</v>
      </c>
      <c r="B62">
        <v>39</v>
      </c>
      <c r="C62" s="1">
        <v>44960</v>
      </c>
      <c r="D62">
        <v>448.63</v>
      </c>
      <c r="E62" t="s">
        <v>8</v>
      </c>
      <c r="F62" t="s">
        <v>12</v>
      </c>
      <c r="G62">
        <f>COUNTIF(Data[CustomerID], Data[[#This Row],[CustomerID]])</f>
        <v>1</v>
      </c>
      <c r="H62" s="1" t="str">
        <f>TEXT(Data[OrderDate],"yyyy-mmm")</f>
        <v>2023-Feb</v>
      </c>
      <c r="I62">
        <f>IF(
   COUNTIFS(
      Data[CustomerID], Data[[#This Row],[CustomerID]],
      Data[OrderDate], "&lt;" &amp; EOMONTH(Data[[#This Row],[OrderDate]], -1) + 1
   ) &gt; 0,
   1,
   0
)</f>
        <v>0</v>
      </c>
      <c r="J62">
        <f>YEAR(Data[[#This Row],[OrderDate]])</f>
        <v>2023</v>
      </c>
      <c r="K62" s="2">
        <f>MONTH(Data[[#This Row],[OrderDate]])</f>
        <v>2</v>
      </c>
      <c r="M62" s="12">
        <v>1563</v>
      </c>
      <c r="N62" s="21">
        <f>MAX(Data[OrderDate])-_xlfn.MAXIFS(Data[OrderDate],Data[CustomerID],M62)</f>
        <v>94</v>
      </c>
      <c r="O62" s="22">
        <f>COUNTIFS(Data[CustomerID], M62)</f>
        <v>3</v>
      </c>
      <c r="P62" s="23">
        <f>SUMIFS(Data[Amount], Data[CustomerID], M62)</f>
        <v>766.07999999999993</v>
      </c>
    </row>
    <row r="63" spans="1:16" x14ac:dyDescent="0.25">
      <c r="A63">
        <v>1206</v>
      </c>
      <c r="B63">
        <v>188</v>
      </c>
      <c r="C63" s="1">
        <v>44960</v>
      </c>
      <c r="D63">
        <v>190.28</v>
      </c>
      <c r="E63" t="s">
        <v>6</v>
      </c>
      <c r="F63" t="s">
        <v>7</v>
      </c>
      <c r="G63">
        <f>COUNTIF(Data[CustomerID], Data[[#This Row],[CustomerID]])</f>
        <v>1</v>
      </c>
      <c r="H63" s="1" t="str">
        <f>TEXT(Data[OrderDate],"yyyy-mmm")</f>
        <v>2023-Feb</v>
      </c>
      <c r="I63">
        <f>IF(
   COUNTIFS(
      Data[CustomerID], Data[[#This Row],[CustomerID]],
      Data[OrderDate], "&lt;" &amp; EOMONTH(Data[[#This Row],[OrderDate]], -1) + 1
   ) &gt; 0,
   1,
   0
)</f>
        <v>0</v>
      </c>
      <c r="J63">
        <f>YEAR(Data[[#This Row],[OrderDate]])</f>
        <v>2023</v>
      </c>
      <c r="K63" s="2">
        <f>MONTH(Data[[#This Row],[OrderDate]])</f>
        <v>2</v>
      </c>
      <c r="M63" s="12">
        <v>1639</v>
      </c>
      <c r="N63" s="21">
        <f>MAX(Data[OrderDate])-_xlfn.MAXIFS(Data[OrderDate],Data[CustomerID],M63)</f>
        <v>36</v>
      </c>
      <c r="O63" s="22">
        <f>COUNTIFS(Data[CustomerID], M63)</f>
        <v>3</v>
      </c>
      <c r="P63" s="23">
        <f>SUMIFS(Data[Amount], Data[CustomerID], M63)</f>
        <v>764.23</v>
      </c>
    </row>
    <row r="64" spans="1:16" x14ac:dyDescent="0.25">
      <c r="A64">
        <v>1782</v>
      </c>
      <c r="B64">
        <v>570</v>
      </c>
      <c r="C64" s="1">
        <v>44960</v>
      </c>
      <c r="D64">
        <v>61.41</v>
      </c>
      <c r="E64" t="s">
        <v>13</v>
      </c>
      <c r="F64" t="s">
        <v>14</v>
      </c>
      <c r="G64">
        <f>COUNTIF(Data[CustomerID], Data[[#This Row],[CustomerID]])</f>
        <v>2</v>
      </c>
      <c r="H64" s="1" t="str">
        <f>TEXT(Data[OrderDate],"yyyy-mmm")</f>
        <v>2023-Feb</v>
      </c>
      <c r="I64">
        <f>IF(
   COUNTIFS(
      Data[CustomerID], Data[[#This Row],[CustomerID]],
      Data[OrderDate], "&lt;" &amp; EOMONTH(Data[[#This Row],[OrderDate]], -1) + 1
   ) &gt; 0,
   1,
   0
)</f>
        <v>0</v>
      </c>
      <c r="J64">
        <f>YEAR(Data[[#This Row],[OrderDate]])</f>
        <v>2023</v>
      </c>
      <c r="K64" s="2">
        <f>MONTH(Data[[#This Row],[OrderDate]])</f>
        <v>2</v>
      </c>
      <c r="M64" s="12">
        <v>1459</v>
      </c>
      <c r="N64" s="21">
        <f>MAX(Data[OrderDate])-_xlfn.MAXIFS(Data[OrderDate],Data[CustomerID],M64)</f>
        <v>199</v>
      </c>
      <c r="O64" s="22">
        <f>COUNTIFS(Data[CustomerID], M64)</f>
        <v>2</v>
      </c>
      <c r="P64" s="23">
        <f>SUMIFS(Data[Amount], Data[CustomerID], M64)</f>
        <v>761.6</v>
      </c>
    </row>
    <row r="65" spans="1:16" x14ac:dyDescent="0.25">
      <c r="A65">
        <v>1633</v>
      </c>
      <c r="B65">
        <v>825</v>
      </c>
      <c r="C65" s="1">
        <v>44963</v>
      </c>
      <c r="D65">
        <v>400.18</v>
      </c>
      <c r="E65" t="s">
        <v>17</v>
      </c>
      <c r="F65" t="s">
        <v>16</v>
      </c>
      <c r="G65">
        <f>COUNTIF(Data[CustomerID], Data[[#This Row],[CustomerID]])</f>
        <v>3</v>
      </c>
      <c r="H65" s="1" t="str">
        <f>TEXT(Data[OrderDate],"yyyy-mmm")</f>
        <v>2023-Feb</v>
      </c>
      <c r="I65">
        <f>IF(
   COUNTIFS(
      Data[CustomerID], Data[[#This Row],[CustomerID]],
      Data[OrderDate], "&lt;" &amp; EOMONTH(Data[[#This Row],[OrderDate]], -1) + 1
   ) &gt; 0,
   1,
   0
)</f>
        <v>0</v>
      </c>
      <c r="J65">
        <f>YEAR(Data[[#This Row],[OrderDate]])</f>
        <v>2023</v>
      </c>
      <c r="K65" s="2">
        <f>MONTH(Data[[#This Row],[OrderDate]])</f>
        <v>2</v>
      </c>
      <c r="M65" s="12">
        <v>1853</v>
      </c>
      <c r="N65" s="21">
        <f>MAX(Data[OrderDate])-_xlfn.MAXIFS(Data[OrderDate],Data[CustomerID],M65)</f>
        <v>209</v>
      </c>
      <c r="O65" s="22">
        <f>COUNTIFS(Data[CustomerID], M65)</f>
        <v>2</v>
      </c>
      <c r="P65" s="23">
        <f>SUMIFS(Data[Amount], Data[CustomerID], M65)</f>
        <v>758.93000000000006</v>
      </c>
    </row>
    <row r="66" spans="1:16" x14ac:dyDescent="0.25">
      <c r="A66">
        <v>1190</v>
      </c>
      <c r="B66">
        <v>904</v>
      </c>
      <c r="C66" s="1">
        <v>44963</v>
      </c>
      <c r="D66">
        <v>422.65</v>
      </c>
      <c r="E66" t="s">
        <v>13</v>
      </c>
      <c r="F66" t="s">
        <v>14</v>
      </c>
      <c r="G66">
        <f>COUNTIF(Data[CustomerID], Data[[#This Row],[CustomerID]])</f>
        <v>2</v>
      </c>
      <c r="H66" s="1" t="str">
        <f>TEXT(Data[OrderDate],"yyyy-mmm")</f>
        <v>2023-Feb</v>
      </c>
      <c r="I66">
        <f>IF(
   COUNTIFS(
      Data[CustomerID], Data[[#This Row],[CustomerID]],
      Data[OrderDate], "&lt;" &amp; EOMONTH(Data[[#This Row],[OrderDate]], -1) + 1
   ) &gt; 0,
   1,
   0
)</f>
        <v>0</v>
      </c>
      <c r="J66">
        <f>YEAR(Data[[#This Row],[OrderDate]])</f>
        <v>2023</v>
      </c>
      <c r="K66" s="2">
        <f>MONTH(Data[[#This Row],[OrderDate]])</f>
        <v>2</v>
      </c>
      <c r="M66" s="12">
        <v>1935</v>
      </c>
      <c r="N66" s="21">
        <f>MAX(Data[OrderDate])-_xlfn.MAXIFS(Data[OrderDate],Data[CustomerID],M66)</f>
        <v>65</v>
      </c>
      <c r="O66" s="22">
        <f>COUNTIFS(Data[CustomerID], M66)</f>
        <v>2</v>
      </c>
      <c r="P66" s="23">
        <f>SUMIFS(Data[Amount], Data[CustomerID], M66)</f>
        <v>754.14</v>
      </c>
    </row>
    <row r="67" spans="1:16" x14ac:dyDescent="0.25">
      <c r="A67">
        <v>1692</v>
      </c>
      <c r="B67">
        <v>819</v>
      </c>
      <c r="C67" s="1">
        <v>44964</v>
      </c>
      <c r="D67">
        <v>281.2</v>
      </c>
      <c r="E67" t="s">
        <v>9</v>
      </c>
      <c r="F67" t="s">
        <v>14</v>
      </c>
      <c r="G67">
        <f>COUNTIF(Data[CustomerID], Data[[#This Row],[CustomerID]])</f>
        <v>1</v>
      </c>
      <c r="H67" s="1" t="str">
        <f>TEXT(Data[OrderDate],"yyyy-mmm")</f>
        <v>2023-Feb</v>
      </c>
      <c r="I67">
        <f>IF(
   COUNTIFS(
      Data[CustomerID], Data[[#This Row],[CustomerID]],
      Data[OrderDate], "&lt;" &amp; EOMONTH(Data[[#This Row],[OrderDate]], -1) + 1
   ) &gt; 0,
   1,
   0
)</f>
        <v>0</v>
      </c>
      <c r="J67">
        <f>YEAR(Data[[#This Row],[OrderDate]])</f>
        <v>2023</v>
      </c>
      <c r="K67" s="2">
        <f>MONTH(Data[[#This Row],[OrderDate]])</f>
        <v>2</v>
      </c>
      <c r="M67" s="12">
        <v>1971</v>
      </c>
      <c r="N67" s="21">
        <f>MAX(Data[OrderDate])-_xlfn.MAXIFS(Data[OrderDate],Data[CustomerID],M67)</f>
        <v>572</v>
      </c>
      <c r="O67" s="22">
        <f>COUNTIFS(Data[CustomerID], M67)</f>
        <v>2</v>
      </c>
      <c r="P67" s="23">
        <f>SUMIFS(Data[Amount], Data[CustomerID], M67)</f>
        <v>753.25</v>
      </c>
    </row>
    <row r="68" spans="1:16" x14ac:dyDescent="0.25">
      <c r="A68">
        <v>1098</v>
      </c>
      <c r="B68">
        <v>167</v>
      </c>
      <c r="C68" s="1">
        <v>44965</v>
      </c>
      <c r="D68">
        <v>164.95</v>
      </c>
      <c r="E68" t="s">
        <v>8</v>
      </c>
      <c r="F68" t="s">
        <v>18</v>
      </c>
      <c r="G68">
        <f>COUNTIF(Data[CustomerID], Data[[#This Row],[CustomerID]])</f>
        <v>7</v>
      </c>
      <c r="H68" s="1" t="str">
        <f>TEXT(Data[OrderDate],"yyyy-mmm")</f>
        <v>2023-Feb</v>
      </c>
      <c r="I68">
        <f>IF(
   COUNTIFS(
      Data[CustomerID], Data[[#This Row],[CustomerID]],
      Data[OrderDate], "&lt;" &amp; EOMONTH(Data[[#This Row],[OrderDate]], -1) + 1
   ) &gt; 0,
   1,
   0
)</f>
        <v>0</v>
      </c>
      <c r="J68">
        <f>YEAR(Data[[#This Row],[OrderDate]])</f>
        <v>2023</v>
      </c>
      <c r="K68" s="2">
        <f>MONTH(Data[[#This Row],[OrderDate]])</f>
        <v>2</v>
      </c>
      <c r="M68" s="12">
        <v>1395</v>
      </c>
      <c r="N68" s="21">
        <f>MAX(Data[OrderDate])-_xlfn.MAXIFS(Data[OrderDate],Data[CustomerID],M68)</f>
        <v>51</v>
      </c>
      <c r="O68" s="22">
        <f>COUNTIFS(Data[CustomerID], M68)</f>
        <v>2</v>
      </c>
      <c r="P68" s="23">
        <f>SUMIFS(Data[Amount], Data[CustomerID], M68)</f>
        <v>745.09999999999991</v>
      </c>
    </row>
    <row r="69" spans="1:16" x14ac:dyDescent="0.25">
      <c r="A69">
        <v>1906</v>
      </c>
      <c r="B69">
        <v>318</v>
      </c>
      <c r="C69" s="1">
        <v>44965</v>
      </c>
      <c r="D69">
        <v>107.06</v>
      </c>
      <c r="E69" t="s">
        <v>8</v>
      </c>
      <c r="F69" t="s">
        <v>7</v>
      </c>
      <c r="G69">
        <f>COUNTIF(Data[CustomerID], Data[[#This Row],[CustomerID]])</f>
        <v>1</v>
      </c>
      <c r="H69" s="1" t="str">
        <f>TEXT(Data[OrderDate],"yyyy-mmm")</f>
        <v>2023-Feb</v>
      </c>
      <c r="I69">
        <f>IF(
   COUNTIFS(
      Data[CustomerID], Data[[#This Row],[CustomerID]],
      Data[OrderDate], "&lt;" &amp; EOMONTH(Data[[#This Row],[OrderDate]], -1) + 1
   ) &gt; 0,
   1,
   0
)</f>
        <v>0</v>
      </c>
      <c r="J69">
        <f>YEAR(Data[[#This Row],[OrderDate]])</f>
        <v>2023</v>
      </c>
      <c r="K69" s="2">
        <f>MONTH(Data[[#This Row],[OrderDate]])</f>
        <v>2</v>
      </c>
      <c r="M69" s="12">
        <v>1954</v>
      </c>
      <c r="N69" s="21">
        <f>MAX(Data[OrderDate])-_xlfn.MAXIFS(Data[OrderDate],Data[CustomerID],M69)</f>
        <v>469</v>
      </c>
      <c r="O69" s="22">
        <f>COUNTIFS(Data[CustomerID], M69)</f>
        <v>2</v>
      </c>
      <c r="P69" s="23">
        <f>SUMIFS(Data[Amount], Data[CustomerID], M69)</f>
        <v>745.07999999999993</v>
      </c>
    </row>
    <row r="70" spans="1:16" x14ac:dyDescent="0.25">
      <c r="A70">
        <v>1789</v>
      </c>
      <c r="B70">
        <v>636</v>
      </c>
      <c r="C70" s="1">
        <v>44965</v>
      </c>
      <c r="D70">
        <v>309.41000000000003</v>
      </c>
      <c r="E70" t="s">
        <v>17</v>
      </c>
      <c r="F70" t="s">
        <v>16</v>
      </c>
      <c r="G70">
        <f>COUNTIF(Data[CustomerID], Data[[#This Row],[CustomerID]])</f>
        <v>1</v>
      </c>
      <c r="H70" s="1" t="str">
        <f>TEXT(Data[OrderDate],"yyyy-mmm")</f>
        <v>2023-Feb</v>
      </c>
      <c r="I70">
        <f>IF(
   COUNTIFS(
      Data[CustomerID], Data[[#This Row],[CustomerID]],
      Data[OrderDate], "&lt;" &amp; EOMONTH(Data[[#This Row],[OrderDate]], -1) + 1
   ) &gt; 0,
   1,
   0
)</f>
        <v>0</v>
      </c>
      <c r="J70">
        <f>YEAR(Data[[#This Row],[OrderDate]])</f>
        <v>2023</v>
      </c>
      <c r="K70" s="2">
        <f>MONTH(Data[[#This Row],[OrderDate]])</f>
        <v>2</v>
      </c>
      <c r="M70" s="12">
        <v>1397</v>
      </c>
      <c r="N70" s="21">
        <f>MAX(Data[OrderDate])-_xlfn.MAXIFS(Data[OrderDate],Data[CustomerID],M70)</f>
        <v>98</v>
      </c>
      <c r="O70" s="22">
        <f>COUNTIFS(Data[CustomerID], M70)</f>
        <v>3</v>
      </c>
      <c r="P70" s="23">
        <f>SUMIFS(Data[Amount], Data[CustomerID], M70)</f>
        <v>742.34999999999991</v>
      </c>
    </row>
    <row r="71" spans="1:16" x14ac:dyDescent="0.25">
      <c r="A71">
        <v>1956</v>
      </c>
      <c r="B71">
        <v>703</v>
      </c>
      <c r="C71" s="1">
        <v>44965</v>
      </c>
      <c r="D71">
        <v>371.29</v>
      </c>
      <c r="E71" t="s">
        <v>9</v>
      </c>
      <c r="F71" t="s">
        <v>14</v>
      </c>
      <c r="G71">
        <f>COUNTIF(Data[CustomerID], Data[[#This Row],[CustomerID]])</f>
        <v>2</v>
      </c>
      <c r="H71" s="1" t="str">
        <f>TEXT(Data[OrderDate],"yyyy-mmm")</f>
        <v>2023-Feb</v>
      </c>
      <c r="I71">
        <f>IF(
   COUNTIFS(
      Data[CustomerID], Data[[#This Row],[CustomerID]],
      Data[OrderDate], "&lt;" &amp; EOMONTH(Data[[#This Row],[OrderDate]], -1) + 1
   ) &gt; 0,
   1,
   0
)</f>
        <v>0</v>
      </c>
      <c r="J71">
        <f>YEAR(Data[[#This Row],[OrderDate]])</f>
        <v>2023</v>
      </c>
      <c r="K71" s="2">
        <f>MONTH(Data[[#This Row],[OrderDate]])</f>
        <v>2</v>
      </c>
      <c r="M71" s="12">
        <v>1034</v>
      </c>
      <c r="N71" s="21">
        <f>MAX(Data[OrderDate])-_xlfn.MAXIFS(Data[OrderDate],Data[CustomerID],M71)</f>
        <v>631</v>
      </c>
      <c r="O71" s="22">
        <f>COUNTIFS(Data[CustomerID], M71)</f>
        <v>2</v>
      </c>
      <c r="P71" s="23">
        <f>SUMIFS(Data[Amount], Data[CustomerID], M71)</f>
        <v>741.31999999999994</v>
      </c>
    </row>
    <row r="72" spans="1:16" x14ac:dyDescent="0.25">
      <c r="A72">
        <v>1034</v>
      </c>
      <c r="B72">
        <v>724</v>
      </c>
      <c r="C72" s="1">
        <v>44965</v>
      </c>
      <c r="D72">
        <v>317.43</v>
      </c>
      <c r="E72" t="s">
        <v>17</v>
      </c>
      <c r="F72" t="s">
        <v>10</v>
      </c>
      <c r="G72">
        <f>COUNTIF(Data[CustomerID], Data[[#This Row],[CustomerID]])</f>
        <v>2</v>
      </c>
      <c r="H72" s="1" t="str">
        <f>TEXT(Data[OrderDate],"yyyy-mmm")</f>
        <v>2023-Feb</v>
      </c>
      <c r="I72">
        <f>IF(
   COUNTIFS(
      Data[CustomerID], Data[[#This Row],[CustomerID]],
      Data[OrderDate], "&lt;" &amp; EOMONTH(Data[[#This Row],[OrderDate]], -1) + 1
   ) &gt; 0,
   1,
   0
)</f>
        <v>0</v>
      </c>
      <c r="J72">
        <f>YEAR(Data[[#This Row],[OrderDate]])</f>
        <v>2023</v>
      </c>
      <c r="K72" s="2">
        <f>MONTH(Data[[#This Row],[OrderDate]])</f>
        <v>2</v>
      </c>
      <c r="M72" s="12">
        <v>1562</v>
      </c>
      <c r="N72" s="21">
        <f>MAX(Data[OrderDate])-_xlfn.MAXIFS(Data[OrderDate],Data[CustomerID],M72)</f>
        <v>339</v>
      </c>
      <c r="O72" s="22">
        <f>COUNTIFS(Data[CustomerID], M72)</f>
        <v>2</v>
      </c>
      <c r="P72" s="23">
        <f>SUMIFS(Data[Amount], Data[CustomerID], M72)</f>
        <v>739.42000000000007</v>
      </c>
    </row>
    <row r="73" spans="1:16" x14ac:dyDescent="0.25">
      <c r="A73">
        <v>1565</v>
      </c>
      <c r="B73">
        <v>941</v>
      </c>
      <c r="C73" s="1">
        <v>44965</v>
      </c>
      <c r="D73">
        <v>242.14</v>
      </c>
      <c r="E73" t="s">
        <v>9</v>
      </c>
      <c r="F73" t="s">
        <v>18</v>
      </c>
      <c r="G73">
        <f>COUNTIF(Data[CustomerID], Data[[#This Row],[CustomerID]])</f>
        <v>4</v>
      </c>
      <c r="H73" s="1" t="str">
        <f>TEXT(Data[OrderDate],"yyyy-mmm")</f>
        <v>2023-Feb</v>
      </c>
      <c r="I73">
        <f>IF(
   COUNTIFS(
      Data[CustomerID], Data[[#This Row],[CustomerID]],
      Data[OrderDate], "&lt;" &amp; EOMONTH(Data[[#This Row],[OrderDate]], -1) + 1
   ) &gt; 0,
   1,
   0
)</f>
        <v>0</v>
      </c>
      <c r="J73">
        <f>YEAR(Data[[#This Row],[OrderDate]])</f>
        <v>2023</v>
      </c>
      <c r="K73" s="2">
        <f>MONTH(Data[[#This Row],[OrderDate]])</f>
        <v>2</v>
      </c>
      <c r="M73" s="12">
        <v>1386</v>
      </c>
      <c r="N73" s="21">
        <f>MAX(Data[OrderDate])-_xlfn.MAXIFS(Data[OrderDate],Data[CustomerID],M73)</f>
        <v>366</v>
      </c>
      <c r="O73" s="22">
        <f>COUNTIFS(Data[CustomerID], M73)</f>
        <v>2</v>
      </c>
      <c r="P73" s="23">
        <f>SUMIFS(Data[Amount], Data[CustomerID], M73)</f>
        <v>739.23</v>
      </c>
    </row>
    <row r="74" spans="1:16" x14ac:dyDescent="0.25">
      <c r="A74">
        <v>1577</v>
      </c>
      <c r="B74">
        <v>218</v>
      </c>
      <c r="C74" s="1">
        <v>44966</v>
      </c>
      <c r="D74">
        <v>162.01</v>
      </c>
      <c r="E74" t="s">
        <v>17</v>
      </c>
      <c r="F74" t="s">
        <v>12</v>
      </c>
      <c r="G74">
        <f>COUNTIF(Data[CustomerID], Data[[#This Row],[CustomerID]])</f>
        <v>1</v>
      </c>
      <c r="H74" s="1" t="str">
        <f>TEXT(Data[OrderDate],"yyyy-mmm")</f>
        <v>2023-Feb</v>
      </c>
      <c r="I74">
        <f>IF(
   COUNTIFS(
      Data[CustomerID], Data[[#This Row],[CustomerID]],
      Data[OrderDate], "&lt;" &amp; EOMONTH(Data[[#This Row],[OrderDate]], -1) + 1
   ) &gt; 0,
   1,
   0
)</f>
        <v>0</v>
      </c>
      <c r="J74">
        <f>YEAR(Data[[#This Row],[OrderDate]])</f>
        <v>2023</v>
      </c>
      <c r="K74" s="2">
        <f>MONTH(Data[[#This Row],[OrderDate]])</f>
        <v>2</v>
      </c>
      <c r="M74" s="12">
        <v>1821</v>
      </c>
      <c r="N74" s="21">
        <f>MAX(Data[OrderDate])-_xlfn.MAXIFS(Data[OrderDate],Data[CustomerID],M74)</f>
        <v>180</v>
      </c>
      <c r="O74" s="22">
        <f>COUNTIFS(Data[CustomerID], M74)</f>
        <v>2</v>
      </c>
      <c r="P74" s="23">
        <f>SUMIFS(Data[Amount], Data[CustomerID], M74)</f>
        <v>736.29</v>
      </c>
    </row>
    <row r="75" spans="1:16" x14ac:dyDescent="0.25">
      <c r="A75">
        <v>1564</v>
      </c>
      <c r="B75">
        <v>813</v>
      </c>
      <c r="C75" s="1">
        <v>44966</v>
      </c>
      <c r="D75">
        <v>331.52</v>
      </c>
      <c r="E75" t="s">
        <v>9</v>
      </c>
      <c r="F75" t="s">
        <v>14</v>
      </c>
      <c r="G75">
        <f>COUNTIF(Data[CustomerID], Data[[#This Row],[CustomerID]])</f>
        <v>2</v>
      </c>
      <c r="H75" s="1" t="str">
        <f>TEXT(Data[OrderDate],"yyyy-mmm")</f>
        <v>2023-Feb</v>
      </c>
      <c r="I75">
        <f>IF(
   COUNTIFS(
      Data[CustomerID], Data[[#This Row],[CustomerID]],
      Data[OrderDate], "&lt;" &amp; EOMONTH(Data[[#This Row],[OrderDate]], -1) + 1
   ) &gt; 0,
   1,
   0
)</f>
        <v>0</v>
      </c>
      <c r="J75">
        <f>YEAR(Data[[#This Row],[OrderDate]])</f>
        <v>2023</v>
      </c>
      <c r="K75" s="2">
        <f>MONTH(Data[[#This Row],[OrderDate]])</f>
        <v>2</v>
      </c>
      <c r="M75" s="12">
        <v>1883</v>
      </c>
      <c r="N75" s="21">
        <f>MAX(Data[OrderDate])-_xlfn.MAXIFS(Data[OrderDate],Data[CustomerID],M75)</f>
        <v>245</v>
      </c>
      <c r="O75" s="22">
        <f>COUNTIFS(Data[CustomerID], M75)</f>
        <v>2</v>
      </c>
      <c r="P75" s="23">
        <f>SUMIFS(Data[Amount], Data[CustomerID], M75)</f>
        <v>734.52</v>
      </c>
    </row>
    <row r="76" spans="1:16" x14ac:dyDescent="0.25">
      <c r="A76">
        <v>1234</v>
      </c>
      <c r="B76">
        <v>830</v>
      </c>
      <c r="C76" s="1">
        <v>44966</v>
      </c>
      <c r="D76">
        <v>223.33</v>
      </c>
      <c r="E76" t="s">
        <v>6</v>
      </c>
      <c r="F76" t="s">
        <v>16</v>
      </c>
      <c r="G76">
        <f>COUNTIF(Data[CustomerID], Data[[#This Row],[CustomerID]])</f>
        <v>1</v>
      </c>
      <c r="H76" s="1" t="str">
        <f>TEXT(Data[OrderDate],"yyyy-mmm")</f>
        <v>2023-Feb</v>
      </c>
      <c r="I76">
        <f>IF(
   COUNTIFS(
      Data[CustomerID], Data[[#This Row],[CustomerID]],
      Data[OrderDate], "&lt;" &amp; EOMONTH(Data[[#This Row],[OrderDate]], -1) + 1
   ) &gt; 0,
   1,
   0
)</f>
        <v>0</v>
      </c>
      <c r="J76">
        <f>YEAR(Data[[#This Row],[OrderDate]])</f>
        <v>2023</v>
      </c>
      <c r="K76" s="2">
        <f>MONTH(Data[[#This Row],[OrderDate]])</f>
        <v>2</v>
      </c>
      <c r="M76" s="12">
        <v>1574</v>
      </c>
      <c r="N76" s="21">
        <f>MAX(Data[OrderDate])-_xlfn.MAXIFS(Data[OrderDate],Data[CustomerID],M76)</f>
        <v>34</v>
      </c>
      <c r="O76" s="22">
        <f>COUNTIFS(Data[CustomerID], M76)</f>
        <v>2</v>
      </c>
      <c r="P76" s="23">
        <f>SUMIFS(Data[Amount], Data[CustomerID], M76)</f>
        <v>734.11999999999989</v>
      </c>
    </row>
    <row r="77" spans="1:16" x14ac:dyDescent="0.25">
      <c r="A77">
        <v>1912</v>
      </c>
      <c r="B77">
        <v>839</v>
      </c>
      <c r="C77" s="1">
        <v>44966</v>
      </c>
      <c r="D77">
        <v>101.94</v>
      </c>
      <c r="E77" t="s">
        <v>20</v>
      </c>
      <c r="F77" t="s">
        <v>14</v>
      </c>
      <c r="G77">
        <f>COUNTIF(Data[CustomerID], Data[[#This Row],[CustomerID]])</f>
        <v>1</v>
      </c>
      <c r="H77" s="1" t="str">
        <f>TEXT(Data[OrderDate],"yyyy-mmm")</f>
        <v>2023-Feb</v>
      </c>
      <c r="I77">
        <f>IF(
   COUNTIFS(
      Data[CustomerID], Data[[#This Row],[CustomerID]],
      Data[OrderDate], "&lt;" &amp; EOMONTH(Data[[#This Row],[OrderDate]], -1) + 1
   ) &gt; 0,
   1,
   0
)</f>
        <v>0</v>
      </c>
      <c r="J77">
        <f>YEAR(Data[[#This Row],[OrderDate]])</f>
        <v>2023</v>
      </c>
      <c r="K77" s="2">
        <f>MONTH(Data[[#This Row],[OrderDate]])</f>
        <v>2</v>
      </c>
      <c r="M77" s="12">
        <v>1569</v>
      </c>
      <c r="N77" s="21">
        <f>MAX(Data[OrderDate])-_xlfn.MAXIFS(Data[OrderDate],Data[CustomerID],M77)</f>
        <v>96</v>
      </c>
      <c r="O77" s="22">
        <f>COUNTIFS(Data[CustomerID], M77)</f>
        <v>2</v>
      </c>
      <c r="P77" s="23">
        <f>SUMIFS(Data[Amount], Data[CustomerID], M77)</f>
        <v>732.28</v>
      </c>
    </row>
    <row r="78" spans="1:16" x14ac:dyDescent="0.25">
      <c r="A78">
        <v>1252</v>
      </c>
      <c r="B78">
        <v>840</v>
      </c>
      <c r="C78" s="1">
        <v>44966</v>
      </c>
      <c r="D78">
        <v>448.99</v>
      </c>
      <c r="E78" t="s">
        <v>11</v>
      </c>
      <c r="F78" t="s">
        <v>18</v>
      </c>
      <c r="G78">
        <f>COUNTIF(Data[CustomerID], Data[[#This Row],[CustomerID]])</f>
        <v>5</v>
      </c>
      <c r="H78" s="1" t="str">
        <f>TEXT(Data[OrderDate],"yyyy-mmm")</f>
        <v>2023-Feb</v>
      </c>
      <c r="I78">
        <f>IF(
   COUNTIFS(
      Data[CustomerID], Data[[#This Row],[CustomerID]],
      Data[OrderDate], "&lt;" &amp; EOMONTH(Data[[#This Row],[OrderDate]], -1) + 1
   ) &gt; 0,
   1,
   0
)</f>
        <v>0</v>
      </c>
      <c r="J78">
        <f>YEAR(Data[[#This Row],[OrderDate]])</f>
        <v>2023</v>
      </c>
      <c r="K78" s="2">
        <f>MONTH(Data[[#This Row],[OrderDate]])</f>
        <v>2</v>
      </c>
      <c r="M78" s="12">
        <v>1663</v>
      </c>
      <c r="N78" s="21">
        <f>MAX(Data[OrderDate])-_xlfn.MAXIFS(Data[OrderDate],Data[CustomerID],M78)</f>
        <v>80</v>
      </c>
      <c r="O78" s="22">
        <f>COUNTIFS(Data[CustomerID], M78)</f>
        <v>4</v>
      </c>
      <c r="P78" s="23">
        <f>SUMIFS(Data[Amount], Data[CustomerID], M78)</f>
        <v>727.54</v>
      </c>
    </row>
    <row r="79" spans="1:16" x14ac:dyDescent="0.25">
      <c r="A79">
        <v>1837</v>
      </c>
      <c r="B79">
        <v>569</v>
      </c>
      <c r="C79" s="1">
        <v>44967</v>
      </c>
      <c r="D79">
        <v>239.8</v>
      </c>
      <c r="E79" t="s">
        <v>8</v>
      </c>
      <c r="F79" t="s">
        <v>16</v>
      </c>
      <c r="G79">
        <f>COUNTIF(Data[CustomerID], Data[[#This Row],[CustomerID]])</f>
        <v>1</v>
      </c>
      <c r="H79" s="1" t="str">
        <f>TEXT(Data[OrderDate],"yyyy-mmm")</f>
        <v>2023-Feb</v>
      </c>
      <c r="I79">
        <f>IF(
   COUNTIFS(
      Data[CustomerID], Data[[#This Row],[CustomerID]],
      Data[OrderDate], "&lt;" &amp; EOMONTH(Data[[#This Row],[OrderDate]], -1) + 1
   ) &gt; 0,
   1,
   0
)</f>
        <v>0</v>
      </c>
      <c r="J79">
        <f>YEAR(Data[[#This Row],[OrderDate]])</f>
        <v>2023</v>
      </c>
      <c r="K79" s="2">
        <f>MONTH(Data[[#This Row],[OrderDate]])</f>
        <v>2</v>
      </c>
      <c r="M79" s="12">
        <v>1166</v>
      </c>
      <c r="N79" s="21">
        <f>MAX(Data[OrderDate])-_xlfn.MAXIFS(Data[OrderDate],Data[CustomerID],M79)</f>
        <v>111</v>
      </c>
      <c r="O79" s="22">
        <f>COUNTIFS(Data[CustomerID], M79)</f>
        <v>2</v>
      </c>
      <c r="P79" s="23">
        <f>SUMIFS(Data[Amount], Data[CustomerID], M79)</f>
        <v>724.6</v>
      </c>
    </row>
    <row r="80" spans="1:16" x14ac:dyDescent="0.25">
      <c r="A80">
        <v>1729</v>
      </c>
      <c r="B80">
        <v>299</v>
      </c>
      <c r="C80" s="1">
        <v>44968</v>
      </c>
      <c r="D80">
        <v>386.12</v>
      </c>
      <c r="E80" t="s">
        <v>17</v>
      </c>
      <c r="F80" t="s">
        <v>14</v>
      </c>
      <c r="G80">
        <f>COUNTIF(Data[CustomerID], Data[[#This Row],[CustomerID]])</f>
        <v>2</v>
      </c>
      <c r="H80" s="1" t="str">
        <f>TEXT(Data[OrderDate],"yyyy-mmm")</f>
        <v>2023-Feb</v>
      </c>
      <c r="I80">
        <f>IF(
   COUNTIFS(
      Data[CustomerID], Data[[#This Row],[CustomerID]],
      Data[OrderDate], "&lt;" &amp; EOMONTH(Data[[#This Row],[OrderDate]], -1) + 1
   ) &gt; 0,
   1,
   0
)</f>
        <v>0</v>
      </c>
      <c r="J80">
        <f>YEAR(Data[[#This Row],[OrderDate]])</f>
        <v>2023</v>
      </c>
      <c r="K80" s="2">
        <f>MONTH(Data[[#This Row],[OrderDate]])</f>
        <v>2</v>
      </c>
      <c r="M80" s="12">
        <v>1882</v>
      </c>
      <c r="N80" s="21">
        <f>MAX(Data[OrderDate])-_xlfn.MAXIFS(Data[OrderDate],Data[CustomerID],M80)</f>
        <v>523</v>
      </c>
      <c r="O80" s="22">
        <f>COUNTIFS(Data[CustomerID], M80)</f>
        <v>3</v>
      </c>
      <c r="P80" s="23">
        <f>SUMIFS(Data[Amount], Data[CustomerID], M80)</f>
        <v>723.26</v>
      </c>
    </row>
    <row r="81" spans="1:16" x14ac:dyDescent="0.25">
      <c r="A81">
        <v>1691</v>
      </c>
      <c r="B81">
        <v>567</v>
      </c>
      <c r="C81" s="1">
        <v>44968</v>
      </c>
      <c r="D81">
        <v>164.5</v>
      </c>
      <c r="E81" t="s">
        <v>20</v>
      </c>
      <c r="F81" t="s">
        <v>14</v>
      </c>
      <c r="G81">
        <f>COUNTIF(Data[CustomerID], Data[[#This Row],[CustomerID]])</f>
        <v>2</v>
      </c>
      <c r="H81" s="1" t="str">
        <f>TEXT(Data[OrderDate],"yyyy-mmm")</f>
        <v>2023-Feb</v>
      </c>
      <c r="I81">
        <f>IF(
   COUNTIFS(
      Data[CustomerID], Data[[#This Row],[CustomerID]],
      Data[OrderDate], "&lt;" &amp; EOMONTH(Data[[#This Row],[OrderDate]], -1) + 1
   ) &gt; 0,
   1,
   0
)</f>
        <v>0</v>
      </c>
      <c r="J81">
        <f>YEAR(Data[[#This Row],[OrderDate]])</f>
        <v>2023</v>
      </c>
      <c r="K81" s="2">
        <f>MONTH(Data[[#This Row],[OrderDate]])</f>
        <v>2</v>
      </c>
      <c r="M81" s="12">
        <v>1190</v>
      </c>
      <c r="N81" s="21">
        <f>MAX(Data[OrderDate])-_xlfn.MAXIFS(Data[OrderDate],Data[CustomerID],M81)</f>
        <v>522</v>
      </c>
      <c r="O81" s="22">
        <f>COUNTIFS(Data[CustomerID], M81)</f>
        <v>2</v>
      </c>
      <c r="P81" s="23">
        <f>SUMIFS(Data[Amount], Data[CustomerID], M81)</f>
        <v>715.81</v>
      </c>
    </row>
    <row r="82" spans="1:16" x14ac:dyDescent="0.25">
      <c r="A82">
        <v>1446</v>
      </c>
      <c r="B82">
        <v>634</v>
      </c>
      <c r="C82" s="1">
        <v>44968</v>
      </c>
      <c r="D82">
        <v>372.46</v>
      </c>
      <c r="E82" t="s">
        <v>11</v>
      </c>
      <c r="F82" t="s">
        <v>19</v>
      </c>
      <c r="G82">
        <f>COUNTIF(Data[CustomerID], Data[[#This Row],[CustomerID]])</f>
        <v>1</v>
      </c>
      <c r="H82" s="1" t="str">
        <f>TEXT(Data[OrderDate],"yyyy-mmm")</f>
        <v>2023-Feb</v>
      </c>
      <c r="I82">
        <f>IF(
   COUNTIFS(
      Data[CustomerID], Data[[#This Row],[CustomerID]],
      Data[OrderDate], "&lt;" &amp; EOMONTH(Data[[#This Row],[OrderDate]], -1) + 1
   ) &gt; 0,
   1,
   0
)</f>
        <v>0</v>
      </c>
      <c r="J82">
        <f>YEAR(Data[[#This Row],[OrderDate]])</f>
        <v>2023</v>
      </c>
      <c r="K82" s="2">
        <f>MONTH(Data[[#This Row],[OrderDate]])</f>
        <v>2</v>
      </c>
      <c r="M82" s="12">
        <v>1612</v>
      </c>
      <c r="N82" s="21">
        <f>MAX(Data[OrderDate])-_xlfn.MAXIFS(Data[OrderDate],Data[CustomerID],M82)</f>
        <v>175</v>
      </c>
      <c r="O82" s="22">
        <f>COUNTIFS(Data[CustomerID], M82)</f>
        <v>4</v>
      </c>
      <c r="P82" s="23">
        <f>SUMIFS(Data[Amount], Data[CustomerID], M82)</f>
        <v>714.79</v>
      </c>
    </row>
    <row r="83" spans="1:16" x14ac:dyDescent="0.25">
      <c r="A83">
        <v>1387</v>
      </c>
      <c r="B83">
        <v>90</v>
      </c>
      <c r="C83" s="1">
        <v>44969</v>
      </c>
      <c r="D83">
        <v>259.43</v>
      </c>
      <c r="E83" t="s">
        <v>11</v>
      </c>
      <c r="F83" t="s">
        <v>18</v>
      </c>
      <c r="G83">
        <f>COUNTIF(Data[CustomerID], Data[[#This Row],[CustomerID]])</f>
        <v>2</v>
      </c>
      <c r="H83" s="1" t="str">
        <f>TEXT(Data[OrderDate],"yyyy-mmm")</f>
        <v>2023-Feb</v>
      </c>
      <c r="I83">
        <f>IF(
   COUNTIFS(
      Data[CustomerID], Data[[#This Row],[CustomerID]],
      Data[OrderDate], "&lt;" &amp; EOMONTH(Data[[#This Row],[OrderDate]], -1) + 1
   ) &gt; 0,
   1,
   0
)</f>
        <v>0</v>
      </c>
      <c r="J83">
        <f>YEAR(Data[[#This Row],[OrderDate]])</f>
        <v>2023</v>
      </c>
      <c r="K83" s="2">
        <f>MONTH(Data[[#This Row],[OrderDate]])</f>
        <v>2</v>
      </c>
      <c r="M83" s="12">
        <v>1866</v>
      </c>
      <c r="N83" s="21">
        <f>MAX(Data[OrderDate])-_xlfn.MAXIFS(Data[OrderDate],Data[CustomerID],M83)</f>
        <v>224</v>
      </c>
      <c r="O83" s="22">
        <f>COUNTIFS(Data[CustomerID], M83)</f>
        <v>3</v>
      </c>
      <c r="P83" s="23">
        <f>SUMIFS(Data[Amount], Data[CustomerID], M83)</f>
        <v>713.12999999999988</v>
      </c>
    </row>
    <row r="84" spans="1:16" x14ac:dyDescent="0.25">
      <c r="A84">
        <v>1973</v>
      </c>
      <c r="B84">
        <v>648</v>
      </c>
      <c r="C84" s="1">
        <v>44970</v>
      </c>
      <c r="D84">
        <v>379.35</v>
      </c>
      <c r="E84" t="s">
        <v>15</v>
      </c>
      <c r="F84" t="s">
        <v>16</v>
      </c>
      <c r="G84">
        <f>COUNTIF(Data[CustomerID], Data[[#This Row],[CustomerID]])</f>
        <v>1</v>
      </c>
      <c r="H84" s="1" t="str">
        <f>TEXT(Data[OrderDate],"yyyy-mmm")</f>
        <v>2023-Feb</v>
      </c>
      <c r="I84">
        <f>IF(
   COUNTIFS(
      Data[CustomerID], Data[[#This Row],[CustomerID]],
      Data[OrderDate], "&lt;" &amp; EOMONTH(Data[[#This Row],[OrderDate]], -1) + 1
   ) &gt; 0,
   1,
   0
)</f>
        <v>0</v>
      </c>
      <c r="J84">
        <f>YEAR(Data[[#This Row],[OrderDate]])</f>
        <v>2023</v>
      </c>
      <c r="K84" s="2">
        <f>MONTH(Data[[#This Row],[OrderDate]])</f>
        <v>2</v>
      </c>
      <c r="M84" s="12">
        <v>1200</v>
      </c>
      <c r="N84" s="21">
        <f>MAX(Data[OrderDate])-_xlfn.MAXIFS(Data[OrderDate],Data[CustomerID],M84)</f>
        <v>180</v>
      </c>
      <c r="O84" s="22">
        <f>COUNTIFS(Data[CustomerID], M84)</f>
        <v>3</v>
      </c>
      <c r="P84" s="23">
        <f>SUMIFS(Data[Amount], Data[CustomerID], M84)</f>
        <v>711.94</v>
      </c>
    </row>
    <row r="85" spans="1:16" x14ac:dyDescent="0.25">
      <c r="A85">
        <v>1878</v>
      </c>
      <c r="B85">
        <v>120</v>
      </c>
      <c r="C85" s="1">
        <v>44972</v>
      </c>
      <c r="D85">
        <v>327.8</v>
      </c>
      <c r="E85" t="s">
        <v>11</v>
      </c>
      <c r="F85" t="s">
        <v>12</v>
      </c>
      <c r="G85">
        <f>COUNTIF(Data[CustomerID], Data[[#This Row],[CustomerID]])</f>
        <v>2</v>
      </c>
      <c r="H85" s="1" t="str">
        <f>TEXT(Data[OrderDate],"yyyy-mmm")</f>
        <v>2023-Feb</v>
      </c>
      <c r="I85">
        <f>IF(
   COUNTIFS(
      Data[CustomerID], Data[[#This Row],[CustomerID]],
      Data[OrderDate], "&lt;" &amp; EOMONTH(Data[[#This Row],[OrderDate]], -1) + 1
   ) &gt; 0,
   1,
   0
)</f>
        <v>0</v>
      </c>
      <c r="J85">
        <f>YEAR(Data[[#This Row],[OrderDate]])</f>
        <v>2023</v>
      </c>
      <c r="K85" s="2">
        <f>MONTH(Data[[#This Row],[OrderDate]])</f>
        <v>2</v>
      </c>
      <c r="M85" s="12">
        <v>1860</v>
      </c>
      <c r="N85" s="21">
        <f>MAX(Data[OrderDate])-_xlfn.MAXIFS(Data[OrderDate],Data[CustomerID],M85)</f>
        <v>133</v>
      </c>
      <c r="O85" s="22">
        <f>COUNTIFS(Data[CustomerID], M85)</f>
        <v>3</v>
      </c>
      <c r="P85" s="23">
        <f>SUMIFS(Data[Amount], Data[CustomerID], M85)</f>
        <v>709.99</v>
      </c>
    </row>
    <row r="86" spans="1:16" x14ac:dyDescent="0.25">
      <c r="A86">
        <v>1038</v>
      </c>
      <c r="B86">
        <v>882</v>
      </c>
      <c r="C86" s="1">
        <v>44972</v>
      </c>
      <c r="D86">
        <v>380.99</v>
      </c>
      <c r="E86" t="s">
        <v>6</v>
      </c>
      <c r="F86" t="s">
        <v>12</v>
      </c>
      <c r="G86">
        <f>COUNTIF(Data[CustomerID], Data[[#This Row],[CustomerID]])</f>
        <v>3</v>
      </c>
      <c r="H86" s="1" t="str">
        <f>TEXT(Data[OrderDate],"yyyy-mmm")</f>
        <v>2023-Feb</v>
      </c>
      <c r="I86">
        <f>IF(
   COUNTIFS(
      Data[CustomerID], Data[[#This Row],[CustomerID]],
      Data[OrderDate], "&lt;" &amp; EOMONTH(Data[[#This Row],[OrderDate]], -1) + 1
   ) &gt; 0,
   1,
   0
)</f>
        <v>0</v>
      </c>
      <c r="J86">
        <f>YEAR(Data[[#This Row],[OrderDate]])</f>
        <v>2023</v>
      </c>
      <c r="K86" s="2">
        <f>MONTH(Data[[#This Row],[OrderDate]])</f>
        <v>2</v>
      </c>
      <c r="M86" s="12">
        <v>1441</v>
      </c>
      <c r="N86" s="21">
        <f>MAX(Data[OrderDate])-_xlfn.MAXIFS(Data[OrderDate],Data[CustomerID],M86)</f>
        <v>181</v>
      </c>
      <c r="O86" s="22">
        <f>COUNTIFS(Data[CustomerID], M86)</f>
        <v>2</v>
      </c>
      <c r="P86" s="23">
        <f>SUMIFS(Data[Amount], Data[CustomerID], M86)</f>
        <v>709.46</v>
      </c>
    </row>
    <row r="87" spans="1:16" x14ac:dyDescent="0.25">
      <c r="A87">
        <v>1763</v>
      </c>
      <c r="B87">
        <v>125</v>
      </c>
      <c r="C87" s="1">
        <v>44973</v>
      </c>
      <c r="D87">
        <v>296.26</v>
      </c>
      <c r="E87" t="s">
        <v>17</v>
      </c>
      <c r="F87" t="s">
        <v>7</v>
      </c>
      <c r="G87">
        <f>COUNTIF(Data[CustomerID], Data[[#This Row],[CustomerID]])</f>
        <v>4</v>
      </c>
      <c r="H87" s="1" t="str">
        <f>TEXT(Data[OrderDate],"yyyy-mmm")</f>
        <v>2023-Feb</v>
      </c>
      <c r="I87">
        <f>IF(
   COUNTIFS(
      Data[CustomerID], Data[[#This Row],[CustomerID]],
      Data[OrderDate], "&lt;" &amp; EOMONTH(Data[[#This Row],[OrderDate]], -1) + 1
   ) &gt; 0,
   1,
   0
)</f>
        <v>0</v>
      </c>
      <c r="J87">
        <f>YEAR(Data[[#This Row],[OrderDate]])</f>
        <v>2023</v>
      </c>
      <c r="K87" s="2">
        <f>MONTH(Data[[#This Row],[OrderDate]])</f>
        <v>2</v>
      </c>
      <c r="M87" s="12">
        <v>1217</v>
      </c>
      <c r="N87" s="21">
        <f>MAX(Data[OrderDate])-_xlfn.MAXIFS(Data[OrderDate],Data[CustomerID],M87)</f>
        <v>39</v>
      </c>
      <c r="O87" s="22">
        <f>COUNTIFS(Data[CustomerID], M87)</f>
        <v>2</v>
      </c>
      <c r="P87" s="23">
        <f>SUMIFS(Data[Amount], Data[CustomerID], M87)</f>
        <v>699.97</v>
      </c>
    </row>
    <row r="88" spans="1:16" x14ac:dyDescent="0.25">
      <c r="A88">
        <v>1150</v>
      </c>
      <c r="B88">
        <v>356</v>
      </c>
      <c r="C88" s="1">
        <v>44973</v>
      </c>
      <c r="D88">
        <v>192.35</v>
      </c>
      <c r="E88" t="s">
        <v>11</v>
      </c>
      <c r="F88" t="s">
        <v>14</v>
      </c>
      <c r="G88">
        <f>COUNTIF(Data[CustomerID], Data[[#This Row],[CustomerID]])</f>
        <v>2</v>
      </c>
      <c r="H88" s="1" t="str">
        <f>TEXT(Data[OrderDate],"yyyy-mmm")</f>
        <v>2023-Feb</v>
      </c>
      <c r="I88">
        <f>IF(
   COUNTIFS(
      Data[CustomerID], Data[[#This Row],[CustomerID]],
      Data[OrderDate], "&lt;" &amp; EOMONTH(Data[[#This Row],[OrderDate]], -1) + 1
   ) &gt; 0,
   1,
   0
)</f>
        <v>0</v>
      </c>
      <c r="J88">
        <f>YEAR(Data[[#This Row],[OrderDate]])</f>
        <v>2023</v>
      </c>
      <c r="K88" s="2">
        <f>MONTH(Data[[#This Row],[OrderDate]])</f>
        <v>2</v>
      </c>
      <c r="M88" s="12">
        <v>1728</v>
      </c>
      <c r="N88" s="21">
        <f>MAX(Data[OrderDate])-_xlfn.MAXIFS(Data[OrderDate],Data[CustomerID],M88)</f>
        <v>554</v>
      </c>
      <c r="O88" s="22">
        <f>COUNTIFS(Data[CustomerID], M88)</f>
        <v>2</v>
      </c>
      <c r="P88" s="23">
        <f>SUMIFS(Data[Amount], Data[CustomerID], M88)</f>
        <v>698</v>
      </c>
    </row>
    <row r="89" spans="1:16" x14ac:dyDescent="0.25">
      <c r="A89">
        <v>1757</v>
      </c>
      <c r="B89">
        <v>671</v>
      </c>
      <c r="C89" s="1">
        <v>44973</v>
      </c>
      <c r="D89">
        <v>352.96</v>
      </c>
      <c r="E89" t="s">
        <v>9</v>
      </c>
      <c r="F89" t="s">
        <v>14</v>
      </c>
      <c r="G89">
        <f>COUNTIF(Data[CustomerID], Data[[#This Row],[CustomerID]])</f>
        <v>1</v>
      </c>
      <c r="H89" s="1" t="str">
        <f>TEXT(Data[OrderDate],"yyyy-mmm")</f>
        <v>2023-Feb</v>
      </c>
      <c r="I89">
        <f>IF(
   COUNTIFS(
      Data[CustomerID], Data[[#This Row],[CustomerID]],
      Data[OrderDate], "&lt;" &amp; EOMONTH(Data[[#This Row],[OrderDate]], -1) + 1
   ) &gt; 0,
   1,
   0
)</f>
        <v>0</v>
      </c>
      <c r="J89">
        <f>YEAR(Data[[#This Row],[OrderDate]])</f>
        <v>2023</v>
      </c>
      <c r="K89" s="2">
        <f>MONTH(Data[[#This Row],[OrderDate]])</f>
        <v>2</v>
      </c>
      <c r="M89" s="12">
        <v>1546</v>
      </c>
      <c r="N89" s="21">
        <f>MAX(Data[OrderDate])-_xlfn.MAXIFS(Data[OrderDate],Data[CustomerID],M89)</f>
        <v>164</v>
      </c>
      <c r="O89" s="22">
        <f>COUNTIFS(Data[CustomerID], M89)</f>
        <v>3</v>
      </c>
      <c r="P89" s="23">
        <f>SUMIFS(Data[Amount], Data[CustomerID], M89)</f>
        <v>696.93</v>
      </c>
    </row>
    <row r="90" spans="1:16" x14ac:dyDescent="0.25">
      <c r="A90">
        <v>1341</v>
      </c>
      <c r="B90">
        <v>782</v>
      </c>
      <c r="C90" s="1">
        <v>44973</v>
      </c>
      <c r="D90">
        <v>490.36</v>
      </c>
      <c r="E90" t="s">
        <v>9</v>
      </c>
      <c r="F90" t="s">
        <v>14</v>
      </c>
      <c r="G90">
        <f>COUNTIF(Data[CustomerID], Data[[#This Row],[CustomerID]])</f>
        <v>3</v>
      </c>
      <c r="H90" s="1" t="str">
        <f>TEXT(Data[OrderDate],"yyyy-mmm")</f>
        <v>2023-Feb</v>
      </c>
      <c r="I90">
        <f>IF(
   COUNTIFS(
      Data[CustomerID], Data[[#This Row],[CustomerID]],
      Data[OrderDate], "&lt;" &amp; EOMONTH(Data[[#This Row],[OrderDate]], -1) + 1
   ) &gt; 0,
   1,
   0
)</f>
        <v>0</v>
      </c>
      <c r="J90">
        <f>YEAR(Data[[#This Row],[OrderDate]])</f>
        <v>2023</v>
      </c>
      <c r="K90" s="2">
        <f>MONTH(Data[[#This Row],[OrderDate]])</f>
        <v>2</v>
      </c>
      <c r="M90" s="12">
        <v>1387</v>
      </c>
      <c r="N90" s="21">
        <f>MAX(Data[OrderDate])-_xlfn.MAXIFS(Data[OrderDate],Data[CustomerID],M90)</f>
        <v>365</v>
      </c>
      <c r="O90" s="22">
        <f>COUNTIFS(Data[CustomerID], M90)</f>
        <v>2</v>
      </c>
      <c r="P90" s="23">
        <f>SUMIFS(Data[Amount], Data[CustomerID], M90)</f>
        <v>695.99</v>
      </c>
    </row>
    <row r="91" spans="1:16" x14ac:dyDescent="0.25">
      <c r="A91">
        <v>1812</v>
      </c>
      <c r="B91">
        <v>132</v>
      </c>
      <c r="C91" s="1">
        <v>44974</v>
      </c>
      <c r="D91">
        <v>168.79</v>
      </c>
      <c r="E91" t="s">
        <v>15</v>
      </c>
      <c r="F91" t="s">
        <v>10</v>
      </c>
      <c r="G91">
        <f>COUNTIF(Data[CustomerID], Data[[#This Row],[CustomerID]])</f>
        <v>1</v>
      </c>
      <c r="H91" s="1" t="str">
        <f>TEXT(Data[OrderDate],"yyyy-mmm")</f>
        <v>2023-Feb</v>
      </c>
      <c r="I91">
        <f>IF(
   COUNTIFS(
      Data[CustomerID], Data[[#This Row],[CustomerID]],
      Data[OrderDate], "&lt;" &amp; EOMONTH(Data[[#This Row],[OrderDate]], -1) + 1
   ) &gt; 0,
   1,
   0
)</f>
        <v>0</v>
      </c>
      <c r="J91">
        <f>YEAR(Data[[#This Row],[OrderDate]])</f>
        <v>2023</v>
      </c>
      <c r="K91" s="2">
        <f>MONTH(Data[[#This Row],[OrderDate]])</f>
        <v>2</v>
      </c>
      <c r="M91" s="12">
        <v>1942</v>
      </c>
      <c r="N91" s="21">
        <f>MAX(Data[OrderDate])-_xlfn.MAXIFS(Data[OrderDate],Data[CustomerID],M91)</f>
        <v>192</v>
      </c>
      <c r="O91" s="22">
        <f>COUNTIFS(Data[CustomerID], M91)</f>
        <v>3</v>
      </c>
      <c r="P91" s="23">
        <f>SUMIFS(Data[Amount], Data[CustomerID], M91)</f>
        <v>693.21</v>
      </c>
    </row>
    <row r="92" spans="1:16" x14ac:dyDescent="0.25">
      <c r="A92">
        <v>1229</v>
      </c>
      <c r="B92">
        <v>441</v>
      </c>
      <c r="C92" s="1">
        <v>44975</v>
      </c>
      <c r="D92">
        <v>299.17</v>
      </c>
      <c r="E92" t="s">
        <v>8</v>
      </c>
      <c r="F92" t="s">
        <v>10</v>
      </c>
      <c r="G92">
        <f>COUNTIF(Data[CustomerID], Data[[#This Row],[CustomerID]])</f>
        <v>2</v>
      </c>
      <c r="H92" s="1" t="str">
        <f>TEXT(Data[OrderDate],"yyyy-mmm")</f>
        <v>2023-Feb</v>
      </c>
      <c r="I92">
        <f>IF(
   COUNTIFS(
      Data[CustomerID], Data[[#This Row],[CustomerID]],
      Data[OrderDate], "&lt;" &amp; EOMONTH(Data[[#This Row],[OrderDate]], -1) + 1
   ) &gt; 0,
   1,
   0
)</f>
        <v>0</v>
      </c>
      <c r="J92">
        <f>YEAR(Data[[#This Row],[OrderDate]])</f>
        <v>2023</v>
      </c>
      <c r="K92" s="2">
        <f>MONTH(Data[[#This Row],[OrderDate]])</f>
        <v>2</v>
      </c>
      <c r="M92" s="12">
        <v>1931</v>
      </c>
      <c r="N92" s="21">
        <f>MAX(Data[OrderDate])-_xlfn.MAXIFS(Data[OrderDate],Data[CustomerID],M92)</f>
        <v>250</v>
      </c>
      <c r="O92" s="22">
        <f>COUNTIFS(Data[CustomerID], M92)</f>
        <v>2</v>
      </c>
      <c r="P92" s="23">
        <f>SUMIFS(Data[Amount], Data[CustomerID], M92)</f>
        <v>688.6099999999999</v>
      </c>
    </row>
    <row r="93" spans="1:16" x14ac:dyDescent="0.25">
      <c r="A93">
        <v>1313</v>
      </c>
      <c r="B93">
        <v>34</v>
      </c>
      <c r="C93" s="1">
        <v>44977</v>
      </c>
      <c r="D93">
        <v>411.61</v>
      </c>
      <c r="E93" t="s">
        <v>20</v>
      </c>
      <c r="F93" t="s">
        <v>19</v>
      </c>
      <c r="G93">
        <f>COUNTIF(Data[CustomerID], Data[[#This Row],[CustomerID]])</f>
        <v>2</v>
      </c>
      <c r="H93" s="1" t="str">
        <f>TEXT(Data[OrderDate],"yyyy-mmm")</f>
        <v>2023-Feb</v>
      </c>
      <c r="I93">
        <f>IF(
   COUNTIFS(
      Data[CustomerID], Data[[#This Row],[CustomerID]],
      Data[OrderDate], "&lt;" &amp; EOMONTH(Data[[#This Row],[OrderDate]], -1) + 1
   ) &gt; 0,
   1,
   0
)</f>
        <v>0</v>
      </c>
      <c r="J93">
        <f>YEAR(Data[[#This Row],[OrderDate]])</f>
        <v>2023</v>
      </c>
      <c r="K93" s="2">
        <f>MONTH(Data[[#This Row],[OrderDate]])</f>
        <v>2</v>
      </c>
      <c r="M93" s="12">
        <v>1160</v>
      </c>
      <c r="N93" s="21">
        <f>MAX(Data[OrderDate])-_xlfn.MAXIFS(Data[OrderDate],Data[CustomerID],M93)</f>
        <v>243</v>
      </c>
      <c r="O93" s="22">
        <f>COUNTIFS(Data[CustomerID], M93)</f>
        <v>3</v>
      </c>
      <c r="P93" s="23">
        <f>SUMIFS(Data[Amount], Data[CustomerID], M93)</f>
        <v>687.06</v>
      </c>
    </row>
    <row r="94" spans="1:16" x14ac:dyDescent="0.25">
      <c r="A94">
        <v>1862</v>
      </c>
      <c r="B94">
        <v>107</v>
      </c>
      <c r="C94" s="1">
        <v>44977</v>
      </c>
      <c r="D94">
        <v>302.92</v>
      </c>
      <c r="E94" t="s">
        <v>6</v>
      </c>
      <c r="F94" t="s">
        <v>18</v>
      </c>
      <c r="G94">
        <f>COUNTIF(Data[CustomerID], Data[[#This Row],[CustomerID]])</f>
        <v>1</v>
      </c>
      <c r="H94" s="1" t="str">
        <f>TEXT(Data[OrderDate],"yyyy-mmm")</f>
        <v>2023-Feb</v>
      </c>
      <c r="I94">
        <f>IF(
   COUNTIFS(
      Data[CustomerID], Data[[#This Row],[CustomerID]],
      Data[OrderDate], "&lt;" &amp; EOMONTH(Data[[#This Row],[OrderDate]], -1) + 1
   ) &gt; 0,
   1,
   0
)</f>
        <v>0</v>
      </c>
      <c r="J94">
        <f>YEAR(Data[[#This Row],[OrderDate]])</f>
        <v>2023</v>
      </c>
      <c r="K94" s="2">
        <f>MONTH(Data[[#This Row],[OrderDate]])</f>
        <v>2</v>
      </c>
      <c r="M94" s="12">
        <v>1607</v>
      </c>
      <c r="N94" s="21">
        <f>MAX(Data[OrderDate])-_xlfn.MAXIFS(Data[OrderDate],Data[CustomerID],M94)</f>
        <v>58</v>
      </c>
      <c r="O94" s="22">
        <f>COUNTIFS(Data[CustomerID], M94)</f>
        <v>2</v>
      </c>
      <c r="P94" s="23">
        <f>SUMIFS(Data[Amount], Data[CustomerID], M94)</f>
        <v>684.81999999999994</v>
      </c>
    </row>
    <row r="95" spans="1:16" x14ac:dyDescent="0.25">
      <c r="A95">
        <v>1624</v>
      </c>
      <c r="B95">
        <v>391</v>
      </c>
      <c r="C95" s="1">
        <v>44977</v>
      </c>
      <c r="D95">
        <v>117.54</v>
      </c>
      <c r="E95" t="s">
        <v>11</v>
      </c>
      <c r="F95" t="s">
        <v>12</v>
      </c>
      <c r="G95">
        <f>COUNTIF(Data[CustomerID], Data[[#This Row],[CustomerID]])</f>
        <v>2</v>
      </c>
      <c r="H95" s="1" t="str">
        <f>TEXT(Data[OrderDate],"yyyy-mmm")</f>
        <v>2023-Feb</v>
      </c>
      <c r="I95">
        <f>IF(
   COUNTIFS(
      Data[CustomerID], Data[[#This Row],[CustomerID]],
      Data[OrderDate], "&lt;" &amp; EOMONTH(Data[[#This Row],[OrderDate]], -1) + 1
   ) &gt; 0,
   1,
   0
)</f>
        <v>0</v>
      </c>
      <c r="J95">
        <f>YEAR(Data[[#This Row],[OrderDate]])</f>
        <v>2023</v>
      </c>
      <c r="K95" s="2">
        <f>MONTH(Data[[#This Row],[OrderDate]])</f>
        <v>2</v>
      </c>
      <c r="M95" s="12">
        <v>1455</v>
      </c>
      <c r="N95" s="21">
        <f>MAX(Data[OrderDate])-_xlfn.MAXIFS(Data[OrderDate],Data[CustomerID],M95)</f>
        <v>46</v>
      </c>
      <c r="O95" s="22">
        <f>COUNTIFS(Data[CustomerID], M95)</f>
        <v>3</v>
      </c>
      <c r="P95" s="23">
        <f>SUMIFS(Data[Amount], Data[CustomerID], M95)</f>
        <v>681.58999999999992</v>
      </c>
    </row>
    <row r="96" spans="1:16" x14ac:dyDescent="0.25">
      <c r="A96">
        <v>1734</v>
      </c>
      <c r="B96">
        <v>498</v>
      </c>
      <c r="C96" s="1">
        <v>44977</v>
      </c>
      <c r="D96">
        <v>136.6</v>
      </c>
      <c r="E96" t="s">
        <v>6</v>
      </c>
      <c r="F96" t="s">
        <v>7</v>
      </c>
      <c r="G96">
        <f>COUNTIF(Data[CustomerID], Data[[#This Row],[CustomerID]])</f>
        <v>2</v>
      </c>
      <c r="H96" s="1" t="str">
        <f>TEXT(Data[OrderDate],"yyyy-mmm")</f>
        <v>2023-Feb</v>
      </c>
      <c r="I96">
        <f>IF(
   COUNTIFS(
      Data[CustomerID], Data[[#This Row],[CustomerID]],
      Data[OrderDate], "&lt;" &amp; EOMONTH(Data[[#This Row],[OrderDate]], -1) + 1
   ) &gt; 0,
   1,
   0
)</f>
        <v>0</v>
      </c>
      <c r="J96">
        <f>YEAR(Data[[#This Row],[OrderDate]])</f>
        <v>2023</v>
      </c>
      <c r="K96" s="2">
        <f>MONTH(Data[[#This Row],[OrderDate]])</f>
        <v>2</v>
      </c>
      <c r="M96" s="12">
        <v>1461</v>
      </c>
      <c r="N96" s="21">
        <f>MAX(Data[OrderDate])-_xlfn.MAXIFS(Data[OrderDate],Data[CustomerID],M96)</f>
        <v>96</v>
      </c>
      <c r="O96" s="22">
        <f>COUNTIFS(Data[CustomerID], M96)</f>
        <v>2</v>
      </c>
      <c r="P96" s="23">
        <f>SUMIFS(Data[Amount], Data[CustomerID], M96)</f>
        <v>679.66</v>
      </c>
    </row>
    <row r="97" spans="1:16" x14ac:dyDescent="0.25">
      <c r="A97">
        <v>1080</v>
      </c>
      <c r="B97">
        <v>86</v>
      </c>
      <c r="C97" s="1">
        <v>44979</v>
      </c>
      <c r="D97">
        <v>369</v>
      </c>
      <c r="E97" t="s">
        <v>13</v>
      </c>
      <c r="F97" t="s">
        <v>18</v>
      </c>
      <c r="G97">
        <f>COUNTIF(Data[CustomerID], Data[[#This Row],[CustomerID]])</f>
        <v>2</v>
      </c>
      <c r="H97" s="1" t="str">
        <f>TEXT(Data[OrderDate],"yyyy-mmm")</f>
        <v>2023-Feb</v>
      </c>
      <c r="I97">
        <f>IF(
   COUNTIFS(
      Data[CustomerID], Data[[#This Row],[CustomerID]],
      Data[OrderDate], "&lt;" &amp; EOMONTH(Data[[#This Row],[OrderDate]], -1) + 1
   ) &gt; 0,
   1,
   0
)</f>
        <v>0</v>
      </c>
      <c r="J97">
        <f>YEAR(Data[[#This Row],[OrderDate]])</f>
        <v>2023</v>
      </c>
      <c r="K97" s="2">
        <f>MONTH(Data[[#This Row],[OrderDate]])</f>
        <v>2</v>
      </c>
      <c r="M97" s="12">
        <v>1640</v>
      </c>
      <c r="N97" s="21">
        <f>MAX(Data[OrderDate])-_xlfn.MAXIFS(Data[OrderDate],Data[CustomerID],M97)</f>
        <v>4</v>
      </c>
      <c r="O97" s="22">
        <f>COUNTIFS(Data[CustomerID], M97)</f>
        <v>2</v>
      </c>
      <c r="P97" s="23">
        <f>SUMIFS(Data[Amount], Data[CustomerID], M97)</f>
        <v>678.74</v>
      </c>
    </row>
    <row r="98" spans="1:16" x14ac:dyDescent="0.25">
      <c r="A98">
        <v>1824</v>
      </c>
      <c r="B98">
        <v>536</v>
      </c>
      <c r="C98" s="1">
        <v>44979</v>
      </c>
      <c r="D98">
        <v>331.22</v>
      </c>
      <c r="E98" t="s">
        <v>6</v>
      </c>
      <c r="F98" t="s">
        <v>19</v>
      </c>
      <c r="G98">
        <f>COUNTIF(Data[CustomerID], Data[[#This Row],[CustomerID]])</f>
        <v>1</v>
      </c>
      <c r="H98" s="1" t="str">
        <f>TEXT(Data[OrderDate],"yyyy-mmm")</f>
        <v>2023-Feb</v>
      </c>
      <c r="I98">
        <f>IF(
   COUNTIFS(
      Data[CustomerID], Data[[#This Row],[CustomerID]],
      Data[OrderDate], "&lt;" &amp; EOMONTH(Data[[#This Row],[OrderDate]], -1) + 1
   ) &gt; 0,
   1,
   0
)</f>
        <v>0</v>
      </c>
      <c r="J98">
        <f>YEAR(Data[[#This Row],[OrderDate]])</f>
        <v>2023</v>
      </c>
      <c r="K98" s="2">
        <f>MONTH(Data[[#This Row],[OrderDate]])</f>
        <v>2</v>
      </c>
      <c r="M98" s="12">
        <v>1053</v>
      </c>
      <c r="N98" s="21">
        <f>MAX(Data[OrderDate])-_xlfn.MAXIFS(Data[OrderDate],Data[CustomerID],M98)</f>
        <v>376</v>
      </c>
      <c r="O98" s="22">
        <f>COUNTIFS(Data[CustomerID], M98)</f>
        <v>2</v>
      </c>
      <c r="P98" s="23">
        <f>SUMIFS(Data[Amount], Data[CustomerID], M98)</f>
        <v>678.6</v>
      </c>
    </row>
    <row r="99" spans="1:16" x14ac:dyDescent="0.25">
      <c r="A99">
        <v>1957</v>
      </c>
      <c r="B99">
        <v>51</v>
      </c>
      <c r="C99" s="1">
        <v>44980</v>
      </c>
      <c r="D99">
        <v>278.74</v>
      </c>
      <c r="E99" t="s">
        <v>17</v>
      </c>
      <c r="F99" t="s">
        <v>12</v>
      </c>
      <c r="G99">
        <f>COUNTIF(Data[CustomerID], Data[[#This Row],[CustomerID]])</f>
        <v>6</v>
      </c>
      <c r="H99" s="1" t="str">
        <f>TEXT(Data[OrderDate],"yyyy-mmm")</f>
        <v>2023-Feb</v>
      </c>
      <c r="I99">
        <f>IF(
   COUNTIFS(
      Data[CustomerID], Data[[#This Row],[CustomerID]],
      Data[OrderDate], "&lt;" &amp; EOMONTH(Data[[#This Row],[OrderDate]], -1) + 1
   ) &gt; 0,
   1,
   0
)</f>
        <v>0</v>
      </c>
      <c r="J99">
        <f>YEAR(Data[[#This Row],[OrderDate]])</f>
        <v>2023</v>
      </c>
      <c r="K99" s="2">
        <f>MONTH(Data[[#This Row],[OrderDate]])</f>
        <v>2</v>
      </c>
      <c r="M99" s="12">
        <v>1868</v>
      </c>
      <c r="N99" s="21">
        <f>MAX(Data[OrderDate])-_xlfn.MAXIFS(Data[OrderDate],Data[CustomerID],M99)</f>
        <v>301</v>
      </c>
      <c r="O99" s="22">
        <f>COUNTIFS(Data[CustomerID], M99)</f>
        <v>2</v>
      </c>
      <c r="P99" s="23">
        <f>SUMIFS(Data[Amount], Data[CustomerID], M99)</f>
        <v>678.22</v>
      </c>
    </row>
    <row r="100" spans="1:16" x14ac:dyDescent="0.25">
      <c r="A100">
        <v>1322</v>
      </c>
      <c r="B100">
        <v>494</v>
      </c>
      <c r="C100" s="1">
        <v>44980</v>
      </c>
      <c r="D100">
        <v>103.43</v>
      </c>
      <c r="E100" t="s">
        <v>17</v>
      </c>
      <c r="F100" t="s">
        <v>10</v>
      </c>
      <c r="G100">
        <f>COUNTIF(Data[CustomerID], Data[[#This Row],[CustomerID]])</f>
        <v>2</v>
      </c>
      <c r="H100" s="1" t="str">
        <f>TEXT(Data[OrderDate],"yyyy-mmm")</f>
        <v>2023-Feb</v>
      </c>
      <c r="I100">
        <f>IF(
   COUNTIFS(
      Data[CustomerID], Data[[#This Row],[CustomerID]],
      Data[OrderDate], "&lt;" &amp; EOMONTH(Data[[#This Row],[OrderDate]], -1) + 1
   ) &gt; 0,
   1,
   0
)</f>
        <v>0</v>
      </c>
      <c r="J100">
        <f>YEAR(Data[[#This Row],[OrderDate]])</f>
        <v>2023</v>
      </c>
      <c r="K100" s="2">
        <f>MONTH(Data[[#This Row],[OrderDate]])</f>
        <v>2</v>
      </c>
      <c r="M100" s="12">
        <v>1606</v>
      </c>
      <c r="N100" s="21">
        <f>MAX(Data[OrderDate])-_xlfn.MAXIFS(Data[OrderDate],Data[CustomerID],M100)</f>
        <v>286</v>
      </c>
      <c r="O100" s="22">
        <f>COUNTIFS(Data[CustomerID], M100)</f>
        <v>2</v>
      </c>
      <c r="P100" s="23">
        <f>SUMIFS(Data[Amount], Data[CustomerID], M100)</f>
        <v>673.66</v>
      </c>
    </row>
    <row r="101" spans="1:16" x14ac:dyDescent="0.25">
      <c r="A101">
        <v>1728</v>
      </c>
      <c r="B101">
        <v>781</v>
      </c>
      <c r="C101" s="1">
        <v>44980</v>
      </c>
      <c r="D101">
        <v>274.83</v>
      </c>
      <c r="E101" t="s">
        <v>6</v>
      </c>
      <c r="F101" t="s">
        <v>10</v>
      </c>
      <c r="G101">
        <f>COUNTIF(Data[CustomerID], Data[[#This Row],[CustomerID]])</f>
        <v>2</v>
      </c>
      <c r="H101" s="1" t="str">
        <f>TEXT(Data[OrderDate],"yyyy-mmm")</f>
        <v>2023-Feb</v>
      </c>
      <c r="I101">
        <f>IF(
   COUNTIFS(
      Data[CustomerID], Data[[#This Row],[CustomerID]],
      Data[OrderDate], "&lt;" &amp; EOMONTH(Data[[#This Row],[OrderDate]], -1) + 1
   ) &gt; 0,
   1,
   0
)</f>
        <v>0</v>
      </c>
      <c r="J101">
        <f>YEAR(Data[[#This Row],[OrderDate]])</f>
        <v>2023</v>
      </c>
      <c r="K101" s="2">
        <f>MONTH(Data[[#This Row],[OrderDate]])</f>
        <v>2</v>
      </c>
      <c r="M101" s="12">
        <v>1020</v>
      </c>
      <c r="N101" s="21">
        <f>MAX(Data[OrderDate])-_xlfn.MAXIFS(Data[OrderDate],Data[CustomerID],M101)</f>
        <v>523</v>
      </c>
      <c r="O101" s="22">
        <f>COUNTIFS(Data[CustomerID], M101)</f>
        <v>2</v>
      </c>
      <c r="P101" s="23">
        <f>SUMIFS(Data[Amount], Data[CustomerID], M101)</f>
        <v>672.12</v>
      </c>
    </row>
    <row r="102" spans="1:16" x14ac:dyDescent="0.25">
      <c r="A102">
        <v>1496</v>
      </c>
      <c r="B102">
        <v>479</v>
      </c>
      <c r="C102" s="1">
        <v>44981</v>
      </c>
      <c r="D102">
        <v>243.41</v>
      </c>
      <c r="E102" t="s">
        <v>20</v>
      </c>
      <c r="F102" t="s">
        <v>18</v>
      </c>
      <c r="G102">
        <f>COUNTIF(Data[CustomerID], Data[[#This Row],[CustomerID]])</f>
        <v>3</v>
      </c>
      <c r="H102" s="1" t="str">
        <f>TEXT(Data[OrderDate],"yyyy-mmm")</f>
        <v>2023-Feb</v>
      </c>
      <c r="I102">
        <f>IF(
   COUNTIFS(
      Data[CustomerID], Data[[#This Row],[CustomerID]],
      Data[OrderDate], "&lt;" &amp; EOMONTH(Data[[#This Row],[OrderDate]], -1) + 1
   ) &gt; 0,
   1,
   0
)</f>
        <v>0</v>
      </c>
      <c r="J102">
        <f>YEAR(Data[[#This Row],[OrderDate]])</f>
        <v>2023</v>
      </c>
      <c r="K102" s="2">
        <f>MONTH(Data[[#This Row],[OrderDate]])</f>
        <v>2</v>
      </c>
      <c r="M102" s="12">
        <v>1474</v>
      </c>
      <c r="N102" s="21">
        <f>MAX(Data[OrderDate])-_xlfn.MAXIFS(Data[OrderDate],Data[CustomerID],M102)</f>
        <v>352</v>
      </c>
      <c r="O102" s="22">
        <f>COUNTIFS(Data[CustomerID], M102)</f>
        <v>2</v>
      </c>
      <c r="P102" s="23">
        <f>SUMIFS(Data[Amount], Data[CustomerID], M102)</f>
        <v>667.55</v>
      </c>
    </row>
    <row r="103" spans="1:16" x14ac:dyDescent="0.25">
      <c r="A103">
        <v>1992</v>
      </c>
      <c r="B103">
        <v>485</v>
      </c>
      <c r="C103" s="1">
        <v>44981</v>
      </c>
      <c r="D103">
        <v>212.2</v>
      </c>
      <c r="E103" t="s">
        <v>6</v>
      </c>
      <c r="F103" t="s">
        <v>19</v>
      </c>
      <c r="G103">
        <f>COUNTIF(Data[CustomerID], Data[[#This Row],[CustomerID]])</f>
        <v>2</v>
      </c>
      <c r="H103" s="1" t="str">
        <f>TEXT(Data[OrderDate],"yyyy-mmm")</f>
        <v>2023-Feb</v>
      </c>
      <c r="I103">
        <f>IF(
   COUNTIFS(
      Data[CustomerID], Data[[#This Row],[CustomerID]],
      Data[OrderDate], "&lt;" &amp; EOMONTH(Data[[#This Row],[OrderDate]], -1) + 1
   ) &gt; 0,
   1,
   0
)</f>
        <v>0</v>
      </c>
      <c r="J103">
        <f>YEAR(Data[[#This Row],[OrderDate]])</f>
        <v>2023</v>
      </c>
      <c r="K103" s="2">
        <f>MONTH(Data[[#This Row],[OrderDate]])</f>
        <v>2</v>
      </c>
      <c r="M103" s="12">
        <v>1967</v>
      </c>
      <c r="N103" s="21">
        <f>MAX(Data[OrderDate])-_xlfn.MAXIFS(Data[OrderDate],Data[CustomerID],M103)</f>
        <v>260</v>
      </c>
      <c r="O103" s="22">
        <f>COUNTIFS(Data[CustomerID], M103)</f>
        <v>2</v>
      </c>
      <c r="P103" s="23">
        <f>SUMIFS(Data[Amount], Data[CustomerID], M103)</f>
        <v>665.12</v>
      </c>
    </row>
    <row r="104" spans="1:16" x14ac:dyDescent="0.25">
      <c r="A104">
        <v>1473</v>
      </c>
      <c r="B104">
        <v>608</v>
      </c>
      <c r="C104" s="1">
        <v>44981</v>
      </c>
      <c r="D104">
        <v>344.22</v>
      </c>
      <c r="E104" t="s">
        <v>20</v>
      </c>
      <c r="F104" t="s">
        <v>19</v>
      </c>
      <c r="G104">
        <f>COUNTIF(Data[CustomerID], Data[[#This Row],[CustomerID]])</f>
        <v>2</v>
      </c>
      <c r="H104" s="1" t="str">
        <f>TEXT(Data[OrderDate],"yyyy-mmm")</f>
        <v>2023-Feb</v>
      </c>
      <c r="I104">
        <f>IF(
   COUNTIFS(
      Data[CustomerID], Data[[#This Row],[CustomerID]],
      Data[OrderDate], "&lt;" &amp; EOMONTH(Data[[#This Row],[OrderDate]], -1) + 1
   ) &gt; 0,
   1,
   0
)</f>
        <v>0</v>
      </c>
      <c r="J104">
        <f>YEAR(Data[[#This Row],[OrderDate]])</f>
        <v>2023</v>
      </c>
      <c r="K104" s="2">
        <f>MONTH(Data[[#This Row],[OrderDate]])</f>
        <v>2</v>
      </c>
      <c r="M104" s="12">
        <v>1400</v>
      </c>
      <c r="N104" s="21">
        <f>MAX(Data[OrderDate])-_xlfn.MAXIFS(Data[OrderDate],Data[CustomerID],M104)</f>
        <v>518</v>
      </c>
      <c r="O104" s="22">
        <f>COUNTIFS(Data[CustomerID], M104)</f>
        <v>2</v>
      </c>
      <c r="P104" s="23">
        <f>SUMIFS(Data[Amount], Data[CustomerID], M104)</f>
        <v>664.49</v>
      </c>
    </row>
    <row r="105" spans="1:16" x14ac:dyDescent="0.25">
      <c r="A105">
        <v>1040</v>
      </c>
      <c r="B105">
        <v>129</v>
      </c>
      <c r="C105" s="1">
        <v>44982</v>
      </c>
      <c r="D105">
        <v>121.16</v>
      </c>
      <c r="E105" t="s">
        <v>9</v>
      </c>
      <c r="F105" t="s">
        <v>12</v>
      </c>
      <c r="G105">
        <f>COUNTIF(Data[CustomerID], Data[[#This Row],[CustomerID]])</f>
        <v>3</v>
      </c>
      <c r="H105" s="1" t="str">
        <f>TEXT(Data[OrderDate],"yyyy-mmm")</f>
        <v>2023-Feb</v>
      </c>
      <c r="I105">
        <f>IF(
   COUNTIFS(
      Data[CustomerID], Data[[#This Row],[CustomerID]],
      Data[OrderDate], "&lt;" &amp; EOMONTH(Data[[#This Row],[OrderDate]], -1) + 1
   ) &gt; 0,
   1,
   0
)</f>
        <v>0</v>
      </c>
      <c r="J105">
        <f>YEAR(Data[[#This Row],[OrderDate]])</f>
        <v>2023</v>
      </c>
      <c r="K105" s="2">
        <f>MONTH(Data[[#This Row],[OrderDate]])</f>
        <v>2</v>
      </c>
      <c r="M105" s="12">
        <v>1470</v>
      </c>
      <c r="N105" s="21">
        <f>MAX(Data[OrderDate])-_xlfn.MAXIFS(Data[OrderDate],Data[CustomerID],M105)</f>
        <v>491</v>
      </c>
      <c r="O105" s="22">
        <f>COUNTIFS(Data[CustomerID], M105)</f>
        <v>2</v>
      </c>
      <c r="P105" s="23">
        <f>SUMIFS(Data[Amount], Data[CustomerID], M105)</f>
        <v>663.94</v>
      </c>
    </row>
    <row r="106" spans="1:16" x14ac:dyDescent="0.25">
      <c r="A106">
        <v>1498</v>
      </c>
      <c r="B106">
        <v>143</v>
      </c>
      <c r="C106" s="1">
        <v>44982</v>
      </c>
      <c r="D106">
        <v>181.58</v>
      </c>
      <c r="E106" t="s">
        <v>9</v>
      </c>
      <c r="F106" t="s">
        <v>12</v>
      </c>
      <c r="G106">
        <f>COUNTIF(Data[CustomerID], Data[[#This Row],[CustomerID]])</f>
        <v>2</v>
      </c>
      <c r="H106" s="1" t="str">
        <f>TEXT(Data[OrderDate],"yyyy-mmm")</f>
        <v>2023-Feb</v>
      </c>
      <c r="I106">
        <f>IF(
   COUNTIFS(
      Data[CustomerID], Data[[#This Row],[CustomerID]],
      Data[OrderDate], "&lt;" &amp; EOMONTH(Data[[#This Row],[OrderDate]], -1) + 1
   ) &gt; 0,
   1,
   0
)</f>
        <v>0</v>
      </c>
      <c r="J106">
        <f>YEAR(Data[[#This Row],[OrderDate]])</f>
        <v>2023</v>
      </c>
      <c r="K106" s="2">
        <f>MONTH(Data[[#This Row],[OrderDate]])</f>
        <v>2</v>
      </c>
      <c r="M106" s="12">
        <v>1863</v>
      </c>
      <c r="N106" s="21">
        <f>MAX(Data[OrderDate])-_xlfn.MAXIFS(Data[OrderDate],Data[CustomerID],M106)</f>
        <v>8</v>
      </c>
      <c r="O106" s="22">
        <f>COUNTIFS(Data[CustomerID], M106)</f>
        <v>2</v>
      </c>
      <c r="P106" s="23">
        <f>SUMIFS(Data[Amount], Data[CustomerID], M106)</f>
        <v>663.34</v>
      </c>
    </row>
    <row r="107" spans="1:16" x14ac:dyDescent="0.25">
      <c r="A107">
        <v>1653</v>
      </c>
      <c r="B107">
        <v>544</v>
      </c>
      <c r="C107" s="1">
        <v>44985</v>
      </c>
      <c r="D107">
        <v>485.52</v>
      </c>
      <c r="E107" t="s">
        <v>20</v>
      </c>
      <c r="F107" t="s">
        <v>10</v>
      </c>
      <c r="G107">
        <f>COUNTIF(Data[CustomerID], Data[[#This Row],[CustomerID]])</f>
        <v>1</v>
      </c>
      <c r="H107" s="1" t="str">
        <f>TEXT(Data[OrderDate],"yyyy-mmm")</f>
        <v>2023-Feb</v>
      </c>
      <c r="I107">
        <f>IF(
   COUNTIFS(
      Data[CustomerID], Data[[#This Row],[CustomerID]],
      Data[OrderDate], "&lt;" &amp; EOMONTH(Data[[#This Row],[OrderDate]], -1) + 1
   ) &gt; 0,
   1,
   0
)</f>
        <v>0</v>
      </c>
      <c r="J107">
        <f>YEAR(Data[[#This Row],[OrderDate]])</f>
        <v>2023</v>
      </c>
      <c r="K107" s="2">
        <f>MONTH(Data[[#This Row],[OrderDate]])</f>
        <v>2</v>
      </c>
      <c r="M107" s="12">
        <v>1962</v>
      </c>
      <c r="N107" s="21">
        <f>MAX(Data[OrderDate])-_xlfn.MAXIFS(Data[OrderDate],Data[CustomerID],M107)</f>
        <v>259</v>
      </c>
      <c r="O107" s="22">
        <f>COUNTIFS(Data[CustomerID], M107)</f>
        <v>2</v>
      </c>
      <c r="P107" s="23">
        <f>SUMIFS(Data[Amount], Data[CustomerID], M107)</f>
        <v>659.09999999999991</v>
      </c>
    </row>
    <row r="108" spans="1:16" x14ac:dyDescent="0.25">
      <c r="A108">
        <v>1703</v>
      </c>
      <c r="B108">
        <v>972</v>
      </c>
      <c r="C108" s="1">
        <v>44986</v>
      </c>
      <c r="D108">
        <v>439.23</v>
      </c>
      <c r="E108" t="s">
        <v>6</v>
      </c>
      <c r="F108" t="s">
        <v>18</v>
      </c>
      <c r="G108">
        <f>COUNTIF(Data[CustomerID], Data[[#This Row],[CustomerID]])</f>
        <v>2</v>
      </c>
      <c r="H108" s="1" t="str">
        <f>TEXT(Data[OrderDate],"yyyy-mmm")</f>
        <v>2023-Mar</v>
      </c>
      <c r="I108">
        <f>IF(
   COUNTIFS(
      Data[CustomerID], Data[[#This Row],[CustomerID]],
      Data[OrderDate], "&lt;" &amp; EOMONTH(Data[[#This Row],[OrderDate]], -1) + 1
   ) &gt; 0,
   1,
   0
)</f>
        <v>0</v>
      </c>
      <c r="J108">
        <f>YEAR(Data[[#This Row],[OrderDate]])</f>
        <v>2023</v>
      </c>
      <c r="K108" s="2">
        <f>MONTH(Data[[#This Row],[OrderDate]])</f>
        <v>3</v>
      </c>
      <c r="M108" s="12">
        <v>1214</v>
      </c>
      <c r="N108" s="21">
        <f>MAX(Data[OrderDate])-_xlfn.MAXIFS(Data[OrderDate],Data[CustomerID],M108)</f>
        <v>11</v>
      </c>
      <c r="O108" s="22">
        <f>COUNTIFS(Data[CustomerID], M108)</f>
        <v>2</v>
      </c>
      <c r="P108" s="23">
        <f>SUMIFS(Data[Amount], Data[CustomerID], M108)</f>
        <v>656.06999999999994</v>
      </c>
    </row>
    <row r="109" spans="1:16" x14ac:dyDescent="0.25">
      <c r="A109">
        <v>1995</v>
      </c>
      <c r="B109">
        <v>105</v>
      </c>
      <c r="C109" s="1">
        <v>44987</v>
      </c>
      <c r="D109">
        <v>389.12</v>
      </c>
      <c r="E109" t="s">
        <v>13</v>
      </c>
      <c r="F109" t="s">
        <v>7</v>
      </c>
      <c r="G109">
        <f>COUNTIF(Data[CustomerID], Data[[#This Row],[CustomerID]])</f>
        <v>2</v>
      </c>
      <c r="H109" s="1" t="str">
        <f>TEXT(Data[OrderDate],"yyyy-mmm")</f>
        <v>2023-Mar</v>
      </c>
      <c r="I109">
        <f>IF(
   COUNTIFS(
      Data[CustomerID], Data[[#This Row],[CustomerID]],
      Data[OrderDate], "&lt;" &amp; EOMONTH(Data[[#This Row],[OrderDate]], -1) + 1
   ) &gt; 0,
   1,
   0
)</f>
        <v>0</v>
      </c>
      <c r="J109">
        <f>YEAR(Data[[#This Row],[OrderDate]])</f>
        <v>2023</v>
      </c>
      <c r="K109" s="2">
        <f>MONTH(Data[[#This Row],[OrderDate]])</f>
        <v>3</v>
      </c>
      <c r="M109" s="12">
        <v>1719</v>
      </c>
      <c r="N109" s="21">
        <f>MAX(Data[OrderDate])-_xlfn.MAXIFS(Data[OrderDate],Data[CustomerID],M109)</f>
        <v>387</v>
      </c>
      <c r="O109" s="22">
        <f>COUNTIFS(Data[CustomerID], M109)</f>
        <v>2</v>
      </c>
      <c r="P109" s="23">
        <f>SUMIFS(Data[Amount], Data[CustomerID], M109)</f>
        <v>653.91000000000008</v>
      </c>
    </row>
    <row r="110" spans="1:16" x14ac:dyDescent="0.25">
      <c r="A110">
        <v>1998</v>
      </c>
      <c r="B110">
        <v>632</v>
      </c>
      <c r="C110" s="1">
        <v>44987</v>
      </c>
      <c r="D110">
        <v>330.49</v>
      </c>
      <c r="E110" t="s">
        <v>11</v>
      </c>
      <c r="F110" t="s">
        <v>10</v>
      </c>
      <c r="G110">
        <f>COUNTIF(Data[CustomerID], Data[[#This Row],[CustomerID]])</f>
        <v>2</v>
      </c>
      <c r="H110" s="1" t="str">
        <f>TEXT(Data[OrderDate],"yyyy-mmm")</f>
        <v>2023-Mar</v>
      </c>
      <c r="I110">
        <f>IF(
   COUNTIFS(
      Data[CustomerID], Data[[#This Row],[CustomerID]],
      Data[OrderDate], "&lt;" &amp; EOMONTH(Data[[#This Row],[OrderDate]], -1) + 1
   ) &gt; 0,
   1,
   0
)</f>
        <v>0</v>
      </c>
      <c r="J110">
        <f>YEAR(Data[[#This Row],[OrderDate]])</f>
        <v>2023</v>
      </c>
      <c r="K110" s="2">
        <f>MONTH(Data[[#This Row],[OrderDate]])</f>
        <v>3</v>
      </c>
      <c r="M110" s="12">
        <v>1498</v>
      </c>
      <c r="N110" s="21">
        <f>MAX(Data[OrderDate])-_xlfn.MAXIFS(Data[OrderDate],Data[CustomerID],M110)</f>
        <v>284</v>
      </c>
      <c r="O110" s="22">
        <f>COUNTIFS(Data[CustomerID], M110)</f>
        <v>2</v>
      </c>
      <c r="P110" s="23">
        <f>SUMIFS(Data[Amount], Data[CustomerID], M110)</f>
        <v>650.57000000000005</v>
      </c>
    </row>
    <row r="111" spans="1:16" x14ac:dyDescent="0.25">
      <c r="A111">
        <v>1738</v>
      </c>
      <c r="B111">
        <v>755</v>
      </c>
      <c r="C111" s="1">
        <v>44987</v>
      </c>
      <c r="D111">
        <v>387.07</v>
      </c>
      <c r="E111" t="s">
        <v>9</v>
      </c>
      <c r="F111" t="s">
        <v>16</v>
      </c>
      <c r="G111">
        <f>COUNTIF(Data[CustomerID], Data[[#This Row],[CustomerID]])</f>
        <v>2</v>
      </c>
      <c r="H111" s="1" t="str">
        <f>TEXT(Data[OrderDate],"yyyy-mmm")</f>
        <v>2023-Mar</v>
      </c>
      <c r="I111">
        <f>IF(
   COUNTIFS(
      Data[CustomerID], Data[[#This Row],[CustomerID]],
      Data[OrderDate], "&lt;" &amp; EOMONTH(Data[[#This Row],[OrderDate]], -1) + 1
   ) &gt; 0,
   1,
   0
)</f>
        <v>0</v>
      </c>
      <c r="J111">
        <f>YEAR(Data[[#This Row],[OrderDate]])</f>
        <v>2023</v>
      </c>
      <c r="K111" s="2">
        <f>MONTH(Data[[#This Row],[OrderDate]])</f>
        <v>3</v>
      </c>
      <c r="M111" s="12">
        <v>1337</v>
      </c>
      <c r="N111" s="21">
        <f>MAX(Data[OrderDate])-_xlfn.MAXIFS(Data[OrderDate],Data[CustomerID],M111)</f>
        <v>354</v>
      </c>
      <c r="O111" s="22">
        <f>COUNTIFS(Data[CustomerID], M111)</f>
        <v>3</v>
      </c>
      <c r="P111" s="23">
        <f>SUMIFS(Data[Amount], Data[CustomerID], M111)</f>
        <v>646.19999999999993</v>
      </c>
    </row>
    <row r="112" spans="1:16" x14ac:dyDescent="0.25">
      <c r="A112">
        <v>1663</v>
      </c>
      <c r="B112">
        <v>762</v>
      </c>
      <c r="C112" s="1">
        <v>44988</v>
      </c>
      <c r="D112">
        <v>199.76</v>
      </c>
      <c r="E112" t="s">
        <v>6</v>
      </c>
      <c r="F112" t="s">
        <v>19</v>
      </c>
      <c r="G112">
        <f>COUNTIF(Data[CustomerID], Data[[#This Row],[CustomerID]])</f>
        <v>4</v>
      </c>
      <c r="H112" s="1" t="str">
        <f>TEXT(Data[OrderDate],"yyyy-mmm")</f>
        <v>2023-Mar</v>
      </c>
      <c r="I112">
        <f>IF(
   COUNTIFS(
      Data[CustomerID], Data[[#This Row],[CustomerID]],
      Data[OrderDate], "&lt;" &amp; EOMONTH(Data[[#This Row],[OrderDate]], -1) + 1
   ) &gt; 0,
   1,
   0
)</f>
        <v>0</v>
      </c>
      <c r="J112">
        <f>YEAR(Data[[#This Row],[OrderDate]])</f>
        <v>2023</v>
      </c>
      <c r="K112" s="2">
        <f>MONTH(Data[[#This Row],[OrderDate]])</f>
        <v>3</v>
      </c>
      <c r="M112" s="12">
        <v>1647</v>
      </c>
      <c r="N112" s="21">
        <f>MAX(Data[OrderDate])-_xlfn.MAXIFS(Data[OrderDate],Data[CustomerID],M112)</f>
        <v>173</v>
      </c>
      <c r="O112" s="22">
        <f>COUNTIFS(Data[CustomerID], M112)</f>
        <v>3</v>
      </c>
      <c r="P112" s="23">
        <f>SUMIFS(Data[Amount], Data[CustomerID], M112)</f>
        <v>641.87</v>
      </c>
    </row>
    <row r="113" spans="1:16" x14ac:dyDescent="0.25">
      <c r="A113">
        <v>1914</v>
      </c>
      <c r="B113">
        <v>791</v>
      </c>
      <c r="C113" s="1">
        <v>44988</v>
      </c>
      <c r="D113">
        <v>217.17</v>
      </c>
      <c r="E113" t="s">
        <v>9</v>
      </c>
      <c r="F113" t="s">
        <v>10</v>
      </c>
      <c r="G113">
        <f>COUNTIF(Data[CustomerID], Data[[#This Row],[CustomerID]])</f>
        <v>1</v>
      </c>
      <c r="H113" s="1" t="str">
        <f>TEXT(Data[OrderDate],"yyyy-mmm")</f>
        <v>2023-Mar</v>
      </c>
      <c r="I113">
        <f>IF(
   COUNTIFS(
      Data[CustomerID], Data[[#This Row],[CustomerID]],
      Data[OrderDate], "&lt;" &amp; EOMONTH(Data[[#This Row],[OrderDate]], -1) + 1
   ) &gt; 0,
   1,
   0
)</f>
        <v>0</v>
      </c>
      <c r="J113">
        <f>YEAR(Data[[#This Row],[OrderDate]])</f>
        <v>2023</v>
      </c>
      <c r="K113" s="2">
        <f>MONTH(Data[[#This Row],[OrderDate]])</f>
        <v>3</v>
      </c>
      <c r="M113" s="12">
        <v>1304</v>
      </c>
      <c r="N113" s="21">
        <f>MAX(Data[OrderDate])-_xlfn.MAXIFS(Data[OrderDate],Data[CustomerID],M113)</f>
        <v>270</v>
      </c>
      <c r="O113" s="22">
        <f>COUNTIFS(Data[CustomerID], M113)</f>
        <v>2</v>
      </c>
      <c r="P113" s="23">
        <f>SUMIFS(Data[Amount], Data[CustomerID], M113)</f>
        <v>641.28</v>
      </c>
    </row>
    <row r="114" spans="1:16" x14ac:dyDescent="0.25">
      <c r="A114">
        <v>1121</v>
      </c>
      <c r="B114">
        <v>10</v>
      </c>
      <c r="C114" s="1">
        <v>44989</v>
      </c>
      <c r="D114">
        <v>379.74</v>
      </c>
      <c r="E114" t="s">
        <v>9</v>
      </c>
      <c r="F114" t="s">
        <v>16</v>
      </c>
      <c r="G114">
        <f>COUNTIF(Data[CustomerID], Data[[#This Row],[CustomerID]])</f>
        <v>2</v>
      </c>
      <c r="H114" s="1" t="str">
        <f>TEXT(Data[OrderDate],"yyyy-mmm")</f>
        <v>2023-Mar</v>
      </c>
      <c r="I114">
        <f>IF(
   COUNTIFS(
      Data[CustomerID], Data[[#This Row],[CustomerID]],
      Data[OrderDate], "&lt;" &amp; EOMONTH(Data[[#This Row],[OrderDate]], -1) + 1
   ) &gt; 0,
   1,
   0
)</f>
        <v>0</v>
      </c>
      <c r="J114">
        <f>YEAR(Data[[#This Row],[OrderDate]])</f>
        <v>2023</v>
      </c>
      <c r="K114" s="2">
        <f>MONTH(Data[[#This Row],[OrderDate]])</f>
        <v>3</v>
      </c>
      <c r="M114" s="12">
        <v>1476</v>
      </c>
      <c r="N114" s="21">
        <f>MAX(Data[OrderDate])-_xlfn.MAXIFS(Data[OrderDate],Data[CustomerID],M114)</f>
        <v>0</v>
      </c>
      <c r="O114" s="22">
        <f>COUNTIFS(Data[CustomerID], M114)</f>
        <v>3</v>
      </c>
      <c r="P114" s="23">
        <f>SUMIFS(Data[Amount], Data[CustomerID], M114)</f>
        <v>639.77</v>
      </c>
    </row>
    <row r="115" spans="1:16" x14ac:dyDescent="0.25">
      <c r="A115">
        <v>1374</v>
      </c>
      <c r="B115">
        <v>436</v>
      </c>
      <c r="C115" s="1">
        <v>44989</v>
      </c>
      <c r="D115">
        <v>255.52</v>
      </c>
      <c r="E115" t="s">
        <v>17</v>
      </c>
      <c r="F115" t="s">
        <v>19</v>
      </c>
      <c r="G115">
        <f>COUNTIF(Data[CustomerID], Data[[#This Row],[CustomerID]])</f>
        <v>1</v>
      </c>
      <c r="H115" s="1" t="str">
        <f>TEXT(Data[OrderDate],"yyyy-mmm")</f>
        <v>2023-Mar</v>
      </c>
      <c r="I115">
        <f>IF(
   COUNTIFS(
      Data[CustomerID], Data[[#This Row],[CustomerID]],
      Data[OrderDate], "&lt;" &amp; EOMONTH(Data[[#This Row],[OrderDate]], -1) + 1
   ) &gt; 0,
   1,
   0
)</f>
        <v>0</v>
      </c>
      <c r="J115">
        <f>YEAR(Data[[#This Row],[OrderDate]])</f>
        <v>2023</v>
      </c>
      <c r="K115" s="2">
        <f>MONTH(Data[[#This Row],[OrderDate]])</f>
        <v>3</v>
      </c>
      <c r="M115" s="12">
        <v>1288</v>
      </c>
      <c r="N115" s="21">
        <f>MAX(Data[OrderDate])-_xlfn.MAXIFS(Data[OrderDate],Data[CustomerID],M115)</f>
        <v>234</v>
      </c>
      <c r="O115" s="22">
        <f>COUNTIFS(Data[CustomerID], M115)</f>
        <v>2</v>
      </c>
      <c r="P115" s="23">
        <f>SUMIFS(Data[Amount], Data[CustomerID], M115)</f>
        <v>629.69000000000005</v>
      </c>
    </row>
    <row r="116" spans="1:16" x14ac:dyDescent="0.25">
      <c r="A116">
        <v>1276</v>
      </c>
      <c r="B116">
        <v>449</v>
      </c>
      <c r="C116" s="1">
        <v>44989</v>
      </c>
      <c r="D116">
        <v>185.58</v>
      </c>
      <c r="E116" t="s">
        <v>9</v>
      </c>
      <c r="F116" t="s">
        <v>14</v>
      </c>
      <c r="G116">
        <f>COUNTIF(Data[CustomerID], Data[[#This Row],[CustomerID]])</f>
        <v>4</v>
      </c>
      <c r="H116" s="1" t="str">
        <f>TEXT(Data[OrderDate],"yyyy-mmm")</f>
        <v>2023-Mar</v>
      </c>
      <c r="I116">
        <f>IF(
   COUNTIFS(
      Data[CustomerID], Data[[#This Row],[CustomerID]],
      Data[OrderDate], "&lt;" &amp; EOMONTH(Data[[#This Row],[OrderDate]], -1) + 1
   ) &gt; 0,
   1,
   0
)</f>
        <v>0</v>
      </c>
      <c r="J116">
        <f>YEAR(Data[[#This Row],[OrderDate]])</f>
        <v>2023</v>
      </c>
      <c r="K116" s="2">
        <f>MONTH(Data[[#This Row],[OrderDate]])</f>
        <v>3</v>
      </c>
      <c r="M116" s="12">
        <v>1691</v>
      </c>
      <c r="N116" s="21">
        <f>MAX(Data[OrderDate])-_xlfn.MAXIFS(Data[OrderDate],Data[CustomerID],M116)</f>
        <v>381</v>
      </c>
      <c r="O116" s="22">
        <f>COUNTIFS(Data[CustomerID], M116)</f>
        <v>2</v>
      </c>
      <c r="P116" s="23">
        <f>SUMIFS(Data[Amount], Data[CustomerID], M116)</f>
        <v>629.65</v>
      </c>
    </row>
    <row r="117" spans="1:16" x14ac:dyDescent="0.25">
      <c r="A117">
        <v>1270</v>
      </c>
      <c r="B117">
        <v>4</v>
      </c>
      <c r="C117" s="1">
        <v>44991</v>
      </c>
      <c r="D117">
        <v>234.98</v>
      </c>
      <c r="E117" t="s">
        <v>11</v>
      </c>
      <c r="F117" t="s">
        <v>12</v>
      </c>
      <c r="G117">
        <f>COUNTIF(Data[CustomerID], Data[[#This Row],[CustomerID]])</f>
        <v>2</v>
      </c>
      <c r="H117" s="1" t="str">
        <f>TEXT(Data[OrderDate],"yyyy-mmm")</f>
        <v>2023-Mar</v>
      </c>
      <c r="I117">
        <f>IF(
   COUNTIFS(
      Data[CustomerID], Data[[#This Row],[CustomerID]],
      Data[OrderDate], "&lt;" &amp; EOMONTH(Data[[#This Row],[OrderDate]], -1) + 1
   ) &gt; 0,
   1,
   0
)</f>
        <v>1</v>
      </c>
      <c r="J117">
        <f>YEAR(Data[[#This Row],[OrderDate]])</f>
        <v>2023</v>
      </c>
      <c r="K117" s="2">
        <f>MONTH(Data[[#This Row],[OrderDate]])</f>
        <v>3</v>
      </c>
      <c r="M117" s="12">
        <v>1504</v>
      </c>
      <c r="N117" s="21">
        <f>MAX(Data[OrderDate])-_xlfn.MAXIFS(Data[OrderDate],Data[CustomerID],M117)</f>
        <v>478</v>
      </c>
      <c r="O117" s="22">
        <f>COUNTIFS(Data[CustomerID], M117)</f>
        <v>2</v>
      </c>
      <c r="P117" s="23">
        <f>SUMIFS(Data[Amount], Data[CustomerID], M117)</f>
        <v>626.18000000000006</v>
      </c>
    </row>
    <row r="118" spans="1:16" x14ac:dyDescent="0.25">
      <c r="A118">
        <v>1004</v>
      </c>
      <c r="B118">
        <v>180</v>
      </c>
      <c r="C118" s="1">
        <v>44993</v>
      </c>
      <c r="D118">
        <v>98.23</v>
      </c>
      <c r="E118" t="s">
        <v>13</v>
      </c>
      <c r="F118" t="s">
        <v>10</v>
      </c>
      <c r="G118">
        <f>COUNTIF(Data[CustomerID], Data[[#This Row],[CustomerID]])</f>
        <v>2</v>
      </c>
      <c r="H118" s="1" t="str">
        <f>TEXT(Data[OrderDate],"yyyy-mmm")</f>
        <v>2023-Mar</v>
      </c>
      <c r="I118">
        <f>IF(
   COUNTIFS(
      Data[CustomerID], Data[[#This Row],[CustomerID]],
      Data[OrderDate], "&lt;" &amp; EOMONTH(Data[[#This Row],[OrderDate]], -1) + 1
   ) &gt; 0,
   1,
   0
)</f>
        <v>1</v>
      </c>
      <c r="J118">
        <f>YEAR(Data[[#This Row],[OrderDate]])</f>
        <v>2023</v>
      </c>
      <c r="K118" s="2">
        <f>MONTH(Data[[#This Row],[OrderDate]])</f>
        <v>3</v>
      </c>
      <c r="M118" s="12">
        <v>1952</v>
      </c>
      <c r="N118" s="21">
        <f>MAX(Data[OrderDate])-_xlfn.MAXIFS(Data[OrderDate],Data[CustomerID],M118)</f>
        <v>13</v>
      </c>
      <c r="O118" s="22">
        <f>COUNTIFS(Data[CustomerID], M118)</f>
        <v>3</v>
      </c>
      <c r="P118" s="23">
        <f>SUMIFS(Data[Amount], Data[CustomerID], M118)</f>
        <v>625.53000000000009</v>
      </c>
    </row>
    <row r="119" spans="1:16" x14ac:dyDescent="0.25">
      <c r="A119">
        <v>1034</v>
      </c>
      <c r="B119">
        <v>84</v>
      </c>
      <c r="C119" s="1">
        <v>44995</v>
      </c>
      <c r="D119">
        <v>423.89</v>
      </c>
      <c r="E119" t="s">
        <v>6</v>
      </c>
      <c r="F119" t="s">
        <v>14</v>
      </c>
      <c r="G119">
        <f>COUNTIF(Data[CustomerID], Data[[#This Row],[CustomerID]])</f>
        <v>2</v>
      </c>
      <c r="H119" s="1" t="str">
        <f>TEXT(Data[OrderDate],"yyyy-mmm")</f>
        <v>2023-Mar</v>
      </c>
      <c r="I119">
        <f>IF(
   COUNTIFS(
      Data[CustomerID], Data[[#This Row],[CustomerID]],
      Data[OrderDate], "&lt;" &amp; EOMONTH(Data[[#This Row],[OrderDate]], -1) + 1
   ) &gt; 0,
   1,
   0
)</f>
        <v>1</v>
      </c>
      <c r="J119">
        <f>YEAR(Data[[#This Row],[OrderDate]])</f>
        <v>2023</v>
      </c>
      <c r="K119" s="2">
        <f>MONTH(Data[[#This Row],[OrderDate]])</f>
        <v>3</v>
      </c>
      <c r="M119" s="12">
        <v>1279</v>
      </c>
      <c r="N119" s="21">
        <f>MAX(Data[OrderDate])-_xlfn.MAXIFS(Data[OrderDate],Data[CustomerID],M119)</f>
        <v>35</v>
      </c>
      <c r="O119" s="22">
        <f>COUNTIFS(Data[CustomerID], M119)</f>
        <v>2</v>
      </c>
      <c r="P119" s="23">
        <f>SUMIFS(Data[Amount], Data[CustomerID], M119)</f>
        <v>615.63</v>
      </c>
    </row>
    <row r="120" spans="1:16" x14ac:dyDescent="0.25">
      <c r="A120">
        <v>1623</v>
      </c>
      <c r="B120">
        <v>365</v>
      </c>
      <c r="C120" s="1">
        <v>44995</v>
      </c>
      <c r="D120">
        <v>378.64</v>
      </c>
      <c r="E120" t="s">
        <v>20</v>
      </c>
      <c r="F120" t="s">
        <v>18</v>
      </c>
      <c r="G120">
        <f>COUNTIF(Data[CustomerID], Data[[#This Row],[CustomerID]])</f>
        <v>1</v>
      </c>
      <c r="H120" s="1" t="str">
        <f>TEXT(Data[OrderDate],"yyyy-mmm")</f>
        <v>2023-Mar</v>
      </c>
      <c r="I120">
        <f>IF(
   COUNTIFS(
      Data[CustomerID], Data[[#This Row],[CustomerID]],
      Data[OrderDate], "&lt;" &amp; EOMONTH(Data[[#This Row],[OrderDate]], -1) + 1
   ) &gt; 0,
   1,
   0
)</f>
        <v>0</v>
      </c>
      <c r="J120">
        <f>YEAR(Data[[#This Row],[OrderDate]])</f>
        <v>2023</v>
      </c>
      <c r="K120" s="2">
        <f>MONTH(Data[[#This Row],[OrderDate]])</f>
        <v>3</v>
      </c>
      <c r="M120" s="12">
        <v>1733</v>
      </c>
      <c r="N120" s="21">
        <f>MAX(Data[OrderDate])-_xlfn.MAXIFS(Data[OrderDate],Data[CustomerID],M120)</f>
        <v>411</v>
      </c>
      <c r="O120" s="22">
        <f>COUNTIFS(Data[CustomerID], M120)</f>
        <v>2</v>
      </c>
      <c r="P120" s="23">
        <f>SUMIFS(Data[Amount], Data[CustomerID], M120)</f>
        <v>615.29999999999995</v>
      </c>
    </row>
    <row r="121" spans="1:16" x14ac:dyDescent="0.25">
      <c r="A121">
        <v>1126</v>
      </c>
      <c r="B121">
        <v>612</v>
      </c>
      <c r="C121" s="1">
        <v>44995</v>
      </c>
      <c r="D121">
        <v>79.58</v>
      </c>
      <c r="E121" t="s">
        <v>20</v>
      </c>
      <c r="F121" t="s">
        <v>16</v>
      </c>
      <c r="G121">
        <f>COUNTIF(Data[CustomerID], Data[[#This Row],[CustomerID]])</f>
        <v>1</v>
      </c>
      <c r="H121" s="1" t="str">
        <f>TEXT(Data[OrderDate],"yyyy-mmm")</f>
        <v>2023-Mar</v>
      </c>
      <c r="I121">
        <f>IF(
   COUNTIFS(
      Data[CustomerID], Data[[#This Row],[CustomerID]],
      Data[OrderDate], "&lt;" &amp; EOMONTH(Data[[#This Row],[OrderDate]], -1) + 1
   ) &gt; 0,
   1,
   0
)</f>
        <v>0</v>
      </c>
      <c r="J121">
        <f>YEAR(Data[[#This Row],[OrderDate]])</f>
        <v>2023</v>
      </c>
      <c r="K121" s="2">
        <f>MONTH(Data[[#This Row],[OrderDate]])</f>
        <v>3</v>
      </c>
      <c r="M121" s="12">
        <v>1564</v>
      </c>
      <c r="N121" s="21">
        <f>MAX(Data[OrderDate])-_xlfn.MAXIFS(Data[OrderDate],Data[CustomerID],M121)</f>
        <v>365</v>
      </c>
      <c r="O121" s="22">
        <f>COUNTIFS(Data[CustomerID], M121)</f>
        <v>2</v>
      </c>
      <c r="P121" s="23">
        <f>SUMIFS(Data[Amount], Data[CustomerID], M121)</f>
        <v>605.04999999999995</v>
      </c>
    </row>
    <row r="122" spans="1:16" x14ac:dyDescent="0.25">
      <c r="A122">
        <v>1510</v>
      </c>
      <c r="B122">
        <v>42</v>
      </c>
      <c r="C122" s="1">
        <v>44998</v>
      </c>
      <c r="D122">
        <v>308.41000000000003</v>
      </c>
      <c r="E122" t="s">
        <v>9</v>
      </c>
      <c r="F122" t="s">
        <v>12</v>
      </c>
      <c r="G122">
        <f>COUNTIF(Data[CustomerID], Data[[#This Row],[CustomerID]])</f>
        <v>4</v>
      </c>
      <c r="H122" s="1" t="str">
        <f>TEXT(Data[OrderDate],"yyyy-mmm")</f>
        <v>2023-Mar</v>
      </c>
      <c r="I122">
        <f>IF(
   COUNTIFS(
      Data[CustomerID], Data[[#This Row],[CustomerID]],
      Data[OrderDate], "&lt;" &amp; EOMONTH(Data[[#This Row],[OrderDate]], -1) + 1
   ) &gt; 0,
   1,
   0
)</f>
        <v>0</v>
      </c>
      <c r="J122">
        <f>YEAR(Data[[#This Row],[OrderDate]])</f>
        <v>2023</v>
      </c>
      <c r="K122" s="2">
        <f>MONTH(Data[[#This Row],[OrderDate]])</f>
        <v>3</v>
      </c>
      <c r="M122" s="12">
        <v>1167</v>
      </c>
      <c r="N122" s="21">
        <f>MAX(Data[OrderDate])-_xlfn.MAXIFS(Data[OrderDate],Data[CustomerID],M122)</f>
        <v>207</v>
      </c>
      <c r="O122" s="22">
        <f>COUNTIFS(Data[CustomerID], M122)</f>
        <v>2</v>
      </c>
      <c r="P122" s="23">
        <f>SUMIFS(Data[Amount], Data[CustomerID], M122)</f>
        <v>603.98</v>
      </c>
    </row>
    <row r="123" spans="1:16" x14ac:dyDescent="0.25">
      <c r="A123">
        <v>1921</v>
      </c>
      <c r="B123">
        <v>123</v>
      </c>
      <c r="C123" s="1">
        <v>44999</v>
      </c>
      <c r="D123">
        <v>429.7</v>
      </c>
      <c r="E123" t="s">
        <v>11</v>
      </c>
      <c r="F123" t="s">
        <v>19</v>
      </c>
      <c r="G123">
        <f>COUNTIF(Data[CustomerID], Data[[#This Row],[CustomerID]])</f>
        <v>2</v>
      </c>
      <c r="H123" s="1" t="str">
        <f>TEXT(Data[OrderDate],"yyyy-mmm")</f>
        <v>2023-Mar</v>
      </c>
      <c r="I123">
        <f>IF(
   COUNTIFS(
      Data[CustomerID], Data[[#This Row],[CustomerID]],
      Data[OrderDate], "&lt;" &amp; EOMONTH(Data[[#This Row],[OrderDate]], -1) + 1
   ) &gt; 0,
   1,
   0
)</f>
        <v>0</v>
      </c>
      <c r="J123">
        <f>YEAR(Data[[#This Row],[OrderDate]])</f>
        <v>2023</v>
      </c>
      <c r="K123" s="2">
        <f>MONTH(Data[[#This Row],[OrderDate]])</f>
        <v>3</v>
      </c>
      <c r="M123" s="12">
        <v>1011</v>
      </c>
      <c r="N123" s="21">
        <f>MAX(Data[OrderDate])-_xlfn.MAXIFS(Data[OrderDate],Data[CustomerID],M123)</f>
        <v>154</v>
      </c>
      <c r="O123" s="22">
        <f>COUNTIFS(Data[CustomerID], M123)</f>
        <v>2</v>
      </c>
      <c r="P123" s="23">
        <f>SUMIFS(Data[Amount], Data[CustomerID], M123)</f>
        <v>603.16</v>
      </c>
    </row>
    <row r="124" spans="1:16" x14ac:dyDescent="0.25">
      <c r="A124">
        <v>1236</v>
      </c>
      <c r="B124">
        <v>627</v>
      </c>
      <c r="C124" s="1">
        <v>44999</v>
      </c>
      <c r="D124">
        <v>372.15</v>
      </c>
      <c r="E124" t="s">
        <v>17</v>
      </c>
      <c r="F124" t="s">
        <v>18</v>
      </c>
      <c r="G124">
        <f>COUNTIF(Data[CustomerID], Data[[#This Row],[CustomerID]])</f>
        <v>1</v>
      </c>
      <c r="H124" s="1" t="str">
        <f>TEXT(Data[OrderDate],"yyyy-mmm")</f>
        <v>2023-Mar</v>
      </c>
      <c r="I124">
        <f>IF(
   COUNTIFS(
      Data[CustomerID], Data[[#This Row],[CustomerID]],
      Data[OrderDate], "&lt;" &amp; EOMONTH(Data[[#This Row],[OrderDate]], -1) + 1
   ) &gt; 0,
   1,
   0
)</f>
        <v>0</v>
      </c>
      <c r="J124">
        <f>YEAR(Data[[#This Row],[OrderDate]])</f>
        <v>2023</v>
      </c>
      <c r="K124" s="2">
        <f>MONTH(Data[[#This Row],[OrderDate]])</f>
        <v>3</v>
      </c>
      <c r="M124" s="12">
        <v>1703</v>
      </c>
      <c r="N124" s="21">
        <f>MAX(Data[OrderDate])-_xlfn.MAXIFS(Data[OrderDate],Data[CustomerID],M124)</f>
        <v>84</v>
      </c>
      <c r="O124" s="22">
        <f>COUNTIFS(Data[CustomerID], M124)</f>
        <v>2</v>
      </c>
      <c r="P124" s="23">
        <f>SUMIFS(Data[Amount], Data[CustomerID], M124)</f>
        <v>598.14</v>
      </c>
    </row>
    <row r="125" spans="1:16" x14ac:dyDescent="0.25">
      <c r="A125">
        <v>1818</v>
      </c>
      <c r="B125">
        <v>60</v>
      </c>
      <c r="C125" s="1">
        <v>45001</v>
      </c>
      <c r="D125">
        <v>326.89999999999998</v>
      </c>
      <c r="E125" t="s">
        <v>11</v>
      </c>
      <c r="F125" t="s">
        <v>12</v>
      </c>
      <c r="G125">
        <f>COUNTIF(Data[CustomerID], Data[[#This Row],[CustomerID]])</f>
        <v>2</v>
      </c>
      <c r="H125" s="1" t="str">
        <f>TEXT(Data[OrderDate],"yyyy-mmm")</f>
        <v>2023-Mar</v>
      </c>
      <c r="I125">
        <f>IF(
   COUNTIFS(
      Data[CustomerID], Data[[#This Row],[CustomerID]],
      Data[OrderDate], "&lt;" &amp; EOMONTH(Data[[#This Row],[OrderDate]], -1) + 1
   ) &gt; 0,
   1,
   0
)</f>
        <v>0</v>
      </c>
      <c r="J125">
        <f>YEAR(Data[[#This Row],[OrderDate]])</f>
        <v>2023</v>
      </c>
      <c r="K125" s="2">
        <f>MONTH(Data[[#This Row],[OrderDate]])</f>
        <v>3</v>
      </c>
      <c r="M125" s="12">
        <v>1046</v>
      </c>
      <c r="N125" s="21">
        <f>MAX(Data[OrderDate])-_xlfn.MAXIFS(Data[OrderDate],Data[CustomerID],M125)</f>
        <v>131</v>
      </c>
      <c r="O125" s="22">
        <f>COUNTIFS(Data[CustomerID], M125)</f>
        <v>3</v>
      </c>
      <c r="P125" s="23">
        <f>SUMIFS(Data[Amount], Data[CustomerID], M125)</f>
        <v>592.75</v>
      </c>
    </row>
    <row r="126" spans="1:16" x14ac:dyDescent="0.25">
      <c r="A126">
        <v>1027</v>
      </c>
      <c r="B126">
        <v>225</v>
      </c>
      <c r="C126" s="1">
        <v>45001</v>
      </c>
      <c r="D126">
        <v>306.87</v>
      </c>
      <c r="E126" t="s">
        <v>9</v>
      </c>
      <c r="F126" t="s">
        <v>12</v>
      </c>
      <c r="G126">
        <f>COUNTIF(Data[CustomerID], Data[[#This Row],[CustomerID]])</f>
        <v>2</v>
      </c>
      <c r="H126" s="1" t="str">
        <f>TEXT(Data[OrderDate],"yyyy-mmm")</f>
        <v>2023-Mar</v>
      </c>
      <c r="I126">
        <f>IF(
   COUNTIFS(
      Data[CustomerID], Data[[#This Row],[CustomerID]],
      Data[OrderDate], "&lt;" &amp; EOMONTH(Data[[#This Row],[OrderDate]], -1) + 1
   ) &gt; 0,
   1,
   0
)</f>
        <v>0</v>
      </c>
      <c r="J126">
        <f>YEAR(Data[[#This Row],[OrderDate]])</f>
        <v>2023</v>
      </c>
      <c r="K126" s="2">
        <f>MONTH(Data[[#This Row],[OrderDate]])</f>
        <v>3</v>
      </c>
      <c r="M126" s="12">
        <v>1491</v>
      </c>
      <c r="N126" s="21">
        <f>MAX(Data[OrderDate])-_xlfn.MAXIFS(Data[OrderDate],Data[CustomerID],M126)</f>
        <v>132</v>
      </c>
      <c r="O126" s="22">
        <f>COUNTIFS(Data[CustomerID], M126)</f>
        <v>2</v>
      </c>
      <c r="P126" s="23">
        <f>SUMIFS(Data[Amount], Data[CustomerID], M126)</f>
        <v>592.56999999999994</v>
      </c>
    </row>
    <row r="127" spans="1:16" x14ac:dyDescent="0.25">
      <c r="A127">
        <v>1397</v>
      </c>
      <c r="B127">
        <v>419</v>
      </c>
      <c r="C127" s="1">
        <v>45001</v>
      </c>
      <c r="D127">
        <v>115.69</v>
      </c>
      <c r="E127" t="s">
        <v>20</v>
      </c>
      <c r="F127" t="s">
        <v>10</v>
      </c>
      <c r="G127">
        <f>COUNTIF(Data[CustomerID], Data[[#This Row],[CustomerID]])</f>
        <v>3</v>
      </c>
      <c r="H127" s="1" t="str">
        <f>TEXT(Data[OrderDate],"yyyy-mmm")</f>
        <v>2023-Mar</v>
      </c>
      <c r="I127">
        <f>IF(
   COUNTIFS(
      Data[CustomerID], Data[[#This Row],[CustomerID]],
      Data[OrderDate], "&lt;" &amp; EOMONTH(Data[[#This Row],[OrderDate]], -1) + 1
   ) &gt; 0,
   1,
   0
)</f>
        <v>0</v>
      </c>
      <c r="J127">
        <f>YEAR(Data[[#This Row],[OrderDate]])</f>
        <v>2023</v>
      </c>
      <c r="K127" s="2">
        <f>MONTH(Data[[#This Row],[OrderDate]])</f>
        <v>3</v>
      </c>
      <c r="M127" s="12">
        <v>1089</v>
      </c>
      <c r="N127" s="21">
        <f>MAX(Data[OrderDate])-_xlfn.MAXIFS(Data[OrderDate],Data[CustomerID],M127)</f>
        <v>130</v>
      </c>
      <c r="O127" s="22">
        <f>COUNTIFS(Data[CustomerID], M127)</f>
        <v>2</v>
      </c>
      <c r="P127" s="23">
        <f>SUMIFS(Data[Amount], Data[CustomerID], M127)</f>
        <v>590.49</v>
      </c>
    </row>
    <row r="128" spans="1:16" x14ac:dyDescent="0.25">
      <c r="A128">
        <v>1569</v>
      </c>
      <c r="B128">
        <v>564</v>
      </c>
      <c r="C128" s="1">
        <v>45001</v>
      </c>
      <c r="D128">
        <v>480.11</v>
      </c>
      <c r="E128" t="s">
        <v>8</v>
      </c>
      <c r="F128" t="s">
        <v>12</v>
      </c>
      <c r="G128">
        <f>COUNTIF(Data[CustomerID], Data[[#This Row],[CustomerID]])</f>
        <v>2</v>
      </c>
      <c r="H128" s="1" t="str">
        <f>TEXT(Data[OrderDate],"yyyy-mmm")</f>
        <v>2023-Mar</v>
      </c>
      <c r="I128">
        <f>IF(
   COUNTIFS(
      Data[CustomerID], Data[[#This Row],[CustomerID]],
      Data[OrderDate], "&lt;" &amp; EOMONTH(Data[[#This Row],[OrderDate]], -1) + 1
   ) &gt; 0,
   1,
   0
)</f>
        <v>0</v>
      </c>
      <c r="J128">
        <f>YEAR(Data[[#This Row],[OrderDate]])</f>
        <v>2023</v>
      </c>
      <c r="K128" s="2">
        <f>MONTH(Data[[#This Row],[OrderDate]])</f>
        <v>3</v>
      </c>
      <c r="M128" s="12">
        <v>1330</v>
      </c>
      <c r="N128" s="21">
        <f>MAX(Data[OrderDate])-_xlfn.MAXIFS(Data[OrderDate],Data[CustomerID],M128)</f>
        <v>126</v>
      </c>
      <c r="O128" s="22">
        <f>COUNTIFS(Data[CustomerID], M128)</f>
        <v>2</v>
      </c>
      <c r="P128" s="23">
        <f>SUMIFS(Data[Amount], Data[CustomerID], M128)</f>
        <v>588.51</v>
      </c>
    </row>
    <row r="129" spans="1:16" x14ac:dyDescent="0.25">
      <c r="A129">
        <v>1655</v>
      </c>
      <c r="B129">
        <v>944</v>
      </c>
      <c r="C129" s="1">
        <v>45001</v>
      </c>
      <c r="D129">
        <v>18.45</v>
      </c>
      <c r="E129" t="s">
        <v>8</v>
      </c>
      <c r="F129" t="s">
        <v>10</v>
      </c>
      <c r="G129">
        <f>COUNTIF(Data[CustomerID], Data[[#This Row],[CustomerID]])</f>
        <v>3</v>
      </c>
      <c r="H129" s="1" t="str">
        <f>TEXT(Data[OrderDate],"yyyy-mmm")</f>
        <v>2023-Mar</v>
      </c>
      <c r="I129">
        <f>IF(
   COUNTIFS(
      Data[CustomerID], Data[[#This Row],[CustomerID]],
      Data[OrderDate], "&lt;" &amp; EOMONTH(Data[[#This Row],[OrderDate]], -1) + 1
   ) &gt; 0,
   1,
   0
)</f>
        <v>0</v>
      </c>
      <c r="J129">
        <f>YEAR(Data[[#This Row],[OrderDate]])</f>
        <v>2023</v>
      </c>
      <c r="K129" s="2">
        <f>MONTH(Data[[#This Row],[OrderDate]])</f>
        <v>3</v>
      </c>
      <c r="M129" s="12">
        <v>1794</v>
      </c>
      <c r="N129" s="21">
        <f>MAX(Data[OrderDate])-_xlfn.MAXIFS(Data[OrderDate],Data[CustomerID],M129)</f>
        <v>129</v>
      </c>
      <c r="O129" s="22">
        <f>COUNTIFS(Data[CustomerID], M129)</f>
        <v>2</v>
      </c>
      <c r="P129" s="23">
        <f>SUMIFS(Data[Amount], Data[CustomerID], M129)</f>
        <v>588.5</v>
      </c>
    </row>
    <row r="130" spans="1:16" x14ac:dyDescent="0.25">
      <c r="A130">
        <v>1276</v>
      </c>
      <c r="B130">
        <v>31</v>
      </c>
      <c r="C130" s="1">
        <v>45004</v>
      </c>
      <c r="D130">
        <v>488.85</v>
      </c>
      <c r="E130" t="s">
        <v>17</v>
      </c>
      <c r="F130" t="s">
        <v>14</v>
      </c>
      <c r="G130">
        <f>COUNTIF(Data[CustomerID], Data[[#This Row],[CustomerID]])</f>
        <v>4</v>
      </c>
      <c r="H130" s="1" t="str">
        <f>TEXT(Data[OrderDate],"yyyy-mmm")</f>
        <v>2023-Mar</v>
      </c>
      <c r="I130">
        <f>IF(
   COUNTIFS(
      Data[CustomerID], Data[[#This Row],[CustomerID]],
      Data[OrderDate], "&lt;" &amp; EOMONTH(Data[[#This Row],[OrderDate]], -1) + 1
   ) &gt; 0,
   1,
   0
)</f>
        <v>0</v>
      </c>
      <c r="J130">
        <f>YEAR(Data[[#This Row],[OrderDate]])</f>
        <v>2023</v>
      </c>
      <c r="K130" s="2">
        <f>MONTH(Data[[#This Row],[OrderDate]])</f>
        <v>3</v>
      </c>
      <c r="M130" s="12">
        <v>1857</v>
      </c>
      <c r="N130" s="21">
        <f>MAX(Data[OrderDate])-_xlfn.MAXIFS(Data[OrderDate],Data[CustomerID],M130)</f>
        <v>331</v>
      </c>
      <c r="O130" s="22">
        <f>COUNTIFS(Data[CustomerID], M130)</f>
        <v>2</v>
      </c>
      <c r="P130" s="23">
        <f>SUMIFS(Data[Amount], Data[CustomerID], M130)</f>
        <v>585.36</v>
      </c>
    </row>
    <row r="131" spans="1:16" x14ac:dyDescent="0.25">
      <c r="A131">
        <v>1791</v>
      </c>
      <c r="B131">
        <v>122</v>
      </c>
      <c r="C131" s="1">
        <v>45004</v>
      </c>
      <c r="D131">
        <v>202.53</v>
      </c>
      <c r="E131" t="s">
        <v>9</v>
      </c>
      <c r="F131" t="s">
        <v>19</v>
      </c>
      <c r="G131">
        <f>COUNTIF(Data[CustomerID], Data[[#This Row],[CustomerID]])</f>
        <v>3</v>
      </c>
      <c r="H131" s="1" t="str">
        <f>TEXT(Data[OrderDate],"yyyy-mmm")</f>
        <v>2023-Mar</v>
      </c>
      <c r="I131">
        <f>IF(
   COUNTIFS(
      Data[CustomerID], Data[[#This Row],[CustomerID]],
      Data[OrderDate], "&lt;" &amp; EOMONTH(Data[[#This Row],[OrderDate]], -1) + 1
   ) &gt; 0,
   1,
   0
)</f>
        <v>0</v>
      </c>
      <c r="J131">
        <f>YEAR(Data[[#This Row],[OrderDate]])</f>
        <v>2023</v>
      </c>
      <c r="K131" s="2">
        <f>MONTH(Data[[#This Row],[OrderDate]])</f>
        <v>3</v>
      </c>
      <c r="M131" s="12">
        <v>1619</v>
      </c>
      <c r="N131" s="21">
        <f>MAX(Data[OrderDate])-_xlfn.MAXIFS(Data[OrderDate],Data[CustomerID],M131)</f>
        <v>358</v>
      </c>
      <c r="O131" s="22">
        <f>COUNTIFS(Data[CustomerID], M131)</f>
        <v>2</v>
      </c>
      <c r="P131" s="23">
        <f>SUMIFS(Data[Amount], Data[CustomerID], M131)</f>
        <v>585.16999999999996</v>
      </c>
    </row>
    <row r="132" spans="1:16" x14ac:dyDescent="0.25">
      <c r="A132">
        <v>1418</v>
      </c>
      <c r="B132">
        <v>147</v>
      </c>
      <c r="C132" s="1">
        <v>45004</v>
      </c>
      <c r="D132">
        <v>225.95</v>
      </c>
      <c r="E132" t="s">
        <v>9</v>
      </c>
      <c r="F132" t="s">
        <v>16</v>
      </c>
      <c r="G132">
        <f>COUNTIF(Data[CustomerID], Data[[#This Row],[CustomerID]])</f>
        <v>1</v>
      </c>
      <c r="H132" s="1" t="str">
        <f>TEXT(Data[OrderDate],"yyyy-mmm")</f>
        <v>2023-Mar</v>
      </c>
      <c r="I132">
        <f>IF(
   COUNTIFS(
      Data[CustomerID], Data[[#This Row],[CustomerID]],
      Data[OrderDate], "&lt;" &amp; EOMONTH(Data[[#This Row],[OrderDate]], -1) + 1
   ) &gt; 0,
   1,
   0
)</f>
        <v>0</v>
      </c>
      <c r="J132">
        <f>YEAR(Data[[#This Row],[OrderDate]])</f>
        <v>2023</v>
      </c>
      <c r="K132" s="2">
        <f>MONTH(Data[[#This Row],[OrderDate]])</f>
        <v>3</v>
      </c>
      <c r="M132" s="12">
        <v>1779</v>
      </c>
      <c r="N132" s="21">
        <f>MAX(Data[OrderDate])-_xlfn.MAXIFS(Data[OrderDate],Data[CustomerID],M132)</f>
        <v>116</v>
      </c>
      <c r="O132" s="22">
        <f>COUNTIFS(Data[CustomerID], M132)</f>
        <v>2</v>
      </c>
      <c r="P132" s="23">
        <f>SUMIFS(Data[Amount], Data[CustomerID], M132)</f>
        <v>583.99</v>
      </c>
    </row>
    <row r="133" spans="1:16" x14ac:dyDescent="0.25">
      <c r="A133">
        <v>1402</v>
      </c>
      <c r="B133">
        <v>294</v>
      </c>
      <c r="C133" s="1">
        <v>45004</v>
      </c>
      <c r="D133">
        <v>397.9</v>
      </c>
      <c r="E133" t="s">
        <v>9</v>
      </c>
      <c r="F133" t="s">
        <v>14</v>
      </c>
      <c r="G133">
        <f>COUNTIF(Data[CustomerID], Data[[#This Row],[CustomerID]])</f>
        <v>2</v>
      </c>
      <c r="H133" s="1" t="str">
        <f>TEXT(Data[OrderDate],"yyyy-mmm")</f>
        <v>2023-Mar</v>
      </c>
      <c r="I133">
        <f>IF(
   COUNTIFS(
      Data[CustomerID], Data[[#This Row],[CustomerID]],
      Data[OrderDate], "&lt;" &amp; EOMONTH(Data[[#This Row],[OrderDate]], -1) + 1
   ) &gt; 0,
   1,
   0
)</f>
        <v>0</v>
      </c>
      <c r="J133">
        <f>YEAR(Data[[#This Row],[OrderDate]])</f>
        <v>2023</v>
      </c>
      <c r="K133" s="2">
        <f>MONTH(Data[[#This Row],[OrderDate]])</f>
        <v>3</v>
      </c>
      <c r="M133" s="12">
        <v>1511</v>
      </c>
      <c r="N133" s="21">
        <f>MAX(Data[OrderDate])-_xlfn.MAXIFS(Data[OrderDate],Data[CustomerID],M133)</f>
        <v>542</v>
      </c>
      <c r="O133" s="22">
        <f>COUNTIFS(Data[CustomerID], M133)</f>
        <v>2</v>
      </c>
      <c r="P133" s="23">
        <f>SUMIFS(Data[Amount], Data[CustomerID], M133)</f>
        <v>581.01</v>
      </c>
    </row>
    <row r="134" spans="1:16" x14ac:dyDescent="0.25">
      <c r="A134">
        <v>1625</v>
      </c>
      <c r="B134">
        <v>505</v>
      </c>
      <c r="C134" s="1">
        <v>45004</v>
      </c>
      <c r="D134">
        <v>125.52</v>
      </c>
      <c r="E134" t="s">
        <v>20</v>
      </c>
      <c r="F134" t="s">
        <v>12</v>
      </c>
      <c r="G134">
        <f>COUNTIF(Data[CustomerID], Data[[#This Row],[CustomerID]])</f>
        <v>2</v>
      </c>
      <c r="H134" s="1" t="str">
        <f>TEXT(Data[OrderDate],"yyyy-mmm")</f>
        <v>2023-Mar</v>
      </c>
      <c r="I134">
        <f>IF(
   COUNTIFS(
      Data[CustomerID], Data[[#This Row],[CustomerID]],
      Data[OrderDate], "&lt;" &amp; EOMONTH(Data[[#This Row],[OrderDate]], -1) + 1
   ) &gt; 0,
   1,
   0
)</f>
        <v>1</v>
      </c>
      <c r="J134">
        <f>YEAR(Data[[#This Row],[OrderDate]])</f>
        <v>2023</v>
      </c>
      <c r="K134" s="2">
        <f>MONTH(Data[[#This Row],[OrderDate]])</f>
        <v>3</v>
      </c>
      <c r="M134" s="12">
        <v>1768</v>
      </c>
      <c r="N134" s="21">
        <f>MAX(Data[OrderDate])-_xlfn.MAXIFS(Data[OrderDate],Data[CustomerID],M134)</f>
        <v>12</v>
      </c>
      <c r="O134" s="22">
        <f>COUNTIFS(Data[CustomerID], M134)</f>
        <v>2</v>
      </c>
      <c r="P134" s="23">
        <f>SUMIFS(Data[Amount], Data[CustomerID], M134)</f>
        <v>576.45000000000005</v>
      </c>
    </row>
    <row r="135" spans="1:16" x14ac:dyDescent="0.25">
      <c r="A135">
        <v>1531</v>
      </c>
      <c r="B135">
        <v>930</v>
      </c>
      <c r="C135" s="1">
        <v>45005</v>
      </c>
      <c r="D135">
        <v>327.13</v>
      </c>
      <c r="E135" t="s">
        <v>6</v>
      </c>
      <c r="F135" t="s">
        <v>14</v>
      </c>
      <c r="G135">
        <f>COUNTIF(Data[CustomerID], Data[[#This Row],[CustomerID]])</f>
        <v>1</v>
      </c>
      <c r="H135" s="1" t="str">
        <f>TEXT(Data[OrderDate],"yyyy-mmm")</f>
        <v>2023-Mar</v>
      </c>
      <c r="I135">
        <f>IF(
   COUNTIFS(
      Data[CustomerID], Data[[#This Row],[CustomerID]],
      Data[OrderDate], "&lt;" &amp; EOMONTH(Data[[#This Row],[OrderDate]], -1) + 1
   ) &gt; 0,
   1,
   0
)</f>
        <v>0</v>
      </c>
      <c r="J135">
        <f>YEAR(Data[[#This Row],[OrderDate]])</f>
        <v>2023</v>
      </c>
      <c r="K135" s="2">
        <f>MONTH(Data[[#This Row],[OrderDate]])</f>
        <v>3</v>
      </c>
      <c r="M135" s="12">
        <v>1402</v>
      </c>
      <c r="N135" s="21">
        <f>MAX(Data[OrderDate])-_xlfn.MAXIFS(Data[OrderDate],Data[CustomerID],M135)</f>
        <v>543</v>
      </c>
      <c r="O135" s="22">
        <f>COUNTIFS(Data[CustomerID], M135)</f>
        <v>2</v>
      </c>
      <c r="P135" s="23">
        <f>SUMIFS(Data[Amount], Data[CustomerID], M135)</f>
        <v>569.82999999999993</v>
      </c>
    </row>
    <row r="136" spans="1:16" x14ac:dyDescent="0.25">
      <c r="A136">
        <v>1366</v>
      </c>
      <c r="B136">
        <v>77</v>
      </c>
      <c r="C136" s="1">
        <v>45007</v>
      </c>
      <c r="D136">
        <v>114.18</v>
      </c>
      <c r="E136" t="s">
        <v>20</v>
      </c>
      <c r="F136" t="s">
        <v>12</v>
      </c>
      <c r="G136">
        <f>COUNTIF(Data[CustomerID], Data[[#This Row],[CustomerID]])</f>
        <v>2</v>
      </c>
      <c r="H136" s="1" t="str">
        <f>TEXT(Data[OrderDate],"yyyy-mmm")</f>
        <v>2023-Mar</v>
      </c>
      <c r="I136">
        <f>IF(
   COUNTIFS(
      Data[CustomerID], Data[[#This Row],[CustomerID]],
      Data[OrderDate], "&lt;" &amp; EOMONTH(Data[[#This Row],[OrderDate]], -1) + 1
   ) &gt; 0,
   1,
   0
)</f>
        <v>0</v>
      </c>
      <c r="J136">
        <f>YEAR(Data[[#This Row],[OrderDate]])</f>
        <v>2023</v>
      </c>
      <c r="K136" s="2">
        <f>MONTH(Data[[#This Row],[OrderDate]])</f>
        <v>3</v>
      </c>
      <c r="M136" s="12">
        <v>1880</v>
      </c>
      <c r="N136" s="21">
        <f>MAX(Data[OrderDate])-_xlfn.MAXIFS(Data[OrderDate],Data[CustomerID],M136)</f>
        <v>482</v>
      </c>
      <c r="O136" s="22">
        <f>COUNTIFS(Data[CustomerID], M136)</f>
        <v>2</v>
      </c>
      <c r="P136" s="23">
        <f>SUMIFS(Data[Amount], Data[CustomerID], M136)</f>
        <v>569.08999999999992</v>
      </c>
    </row>
    <row r="137" spans="1:16" x14ac:dyDescent="0.25">
      <c r="A137">
        <v>1473</v>
      </c>
      <c r="B137">
        <v>659</v>
      </c>
      <c r="C137" s="1">
        <v>45007</v>
      </c>
      <c r="D137">
        <v>5.93</v>
      </c>
      <c r="E137" t="s">
        <v>11</v>
      </c>
      <c r="F137" t="s">
        <v>16</v>
      </c>
      <c r="G137">
        <f>COUNTIF(Data[CustomerID], Data[[#This Row],[CustomerID]])</f>
        <v>2</v>
      </c>
      <c r="H137" s="1" t="str">
        <f>TEXT(Data[OrderDate],"yyyy-mmm")</f>
        <v>2023-Mar</v>
      </c>
      <c r="I137">
        <f>IF(
   COUNTIFS(
      Data[CustomerID], Data[[#This Row],[CustomerID]],
      Data[OrderDate], "&lt;" &amp; EOMONTH(Data[[#This Row],[OrderDate]], -1) + 1
   ) &gt; 0,
   1,
   0
)</f>
        <v>1</v>
      </c>
      <c r="J137">
        <f>YEAR(Data[[#This Row],[OrderDate]])</f>
        <v>2023</v>
      </c>
      <c r="K137" s="2">
        <f>MONTH(Data[[#This Row],[OrderDate]])</f>
        <v>3</v>
      </c>
      <c r="M137" s="12">
        <v>1729</v>
      </c>
      <c r="N137" s="21">
        <f>MAX(Data[OrderDate])-_xlfn.MAXIFS(Data[OrderDate],Data[CustomerID],M137)</f>
        <v>505</v>
      </c>
      <c r="O137" s="22">
        <f>COUNTIFS(Data[CustomerID], M137)</f>
        <v>2</v>
      </c>
      <c r="P137" s="23">
        <f>SUMIFS(Data[Amount], Data[CustomerID], M137)</f>
        <v>568.9</v>
      </c>
    </row>
    <row r="138" spans="1:16" x14ac:dyDescent="0.25">
      <c r="A138">
        <v>1681</v>
      </c>
      <c r="B138">
        <v>525</v>
      </c>
      <c r="C138" s="1">
        <v>45008</v>
      </c>
      <c r="D138">
        <v>227.81</v>
      </c>
      <c r="E138" t="s">
        <v>9</v>
      </c>
      <c r="F138" t="s">
        <v>12</v>
      </c>
      <c r="G138">
        <f>COUNTIF(Data[CustomerID], Data[[#This Row],[CustomerID]])</f>
        <v>4</v>
      </c>
      <c r="H138" s="1" t="str">
        <f>TEXT(Data[OrderDate],"yyyy-mmm")</f>
        <v>2023-Mar</v>
      </c>
      <c r="I138">
        <f>IF(
   COUNTIFS(
      Data[CustomerID], Data[[#This Row],[CustomerID]],
      Data[OrderDate], "&lt;" &amp; EOMONTH(Data[[#This Row],[OrderDate]], -1) + 1
   ) &gt; 0,
   1,
   0
)</f>
        <v>0</v>
      </c>
      <c r="J138">
        <f>YEAR(Data[[#This Row],[OrderDate]])</f>
        <v>2023</v>
      </c>
      <c r="K138" s="2">
        <f>MONTH(Data[[#This Row],[OrderDate]])</f>
        <v>3</v>
      </c>
      <c r="M138" s="12">
        <v>1251</v>
      </c>
      <c r="N138" s="21">
        <f>MAX(Data[OrderDate])-_xlfn.MAXIFS(Data[OrderDate],Data[CustomerID],M138)</f>
        <v>166</v>
      </c>
      <c r="O138" s="22">
        <f>COUNTIFS(Data[CustomerID], M138)</f>
        <v>2</v>
      </c>
      <c r="P138" s="23">
        <f>SUMIFS(Data[Amount], Data[CustomerID], M138)</f>
        <v>566.4</v>
      </c>
    </row>
    <row r="139" spans="1:16" x14ac:dyDescent="0.25">
      <c r="A139">
        <v>1444</v>
      </c>
      <c r="B139">
        <v>874</v>
      </c>
      <c r="C139" s="1">
        <v>45008</v>
      </c>
      <c r="D139">
        <v>412.36</v>
      </c>
      <c r="E139" t="s">
        <v>9</v>
      </c>
      <c r="F139" t="s">
        <v>18</v>
      </c>
      <c r="G139">
        <f>COUNTIF(Data[CustomerID], Data[[#This Row],[CustomerID]])</f>
        <v>2</v>
      </c>
      <c r="H139" s="1" t="str">
        <f>TEXT(Data[OrderDate],"yyyy-mmm")</f>
        <v>2023-Mar</v>
      </c>
      <c r="I139">
        <f>IF(
   COUNTIFS(
      Data[CustomerID], Data[[#This Row],[CustomerID]],
      Data[OrderDate], "&lt;" &amp; EOMONTH(Data[[#This Row],[OrderDate]], -1) + 1
   ) &gt; 0,
   1,
   0
)</f>
        <v>0</v>
      </c>
      <c r="J139">
        <f>YEAR(Data[[#This Row],[OrderDate]])</f>
        <v>2023</v>
      </c>
      <c r="K139" s="2">
        <f>MONTH(Data[[#This Row],[OrderDate]])</f>
        <v>3</v>
      </c>
      <c r="M139" s="12">
        <v>1229</v>
      </c>
      <c r="N139" s="21">
        <f>MAX(Data[OrderDate])-_xlfn.MAXIFS(Data[OrderDate],Data[CustomerID],M139)</f>
        <v>411</v>
      </c>
      <c r="O139" s="22">
        <f>COUNTIFS(Data[CustomerID], M139)</f>
        <v>2</v>
      </c>
      <c r="P139" s="23">
        <f>SUMIFS(Data[Amount], Data[CustomerID], M139)</f>
        <v>561.66000000000008</v>
      </c>
    </row>
    <row r="140" spans="1:16" x14ac:dyDescent="0.25">
      <c r="A140">
        <v>1385</v>
      </c>
      <c r="B140">
        <v>28</v>
      </c>
      <c r="C140" s="1">
        <v>45009</v>
      </c>
      <c r="D140">
        <v>413.13</v>
      </c>
      <c r="E140" t="s">
        <v>8</v>
      </c>
      <c r="F140" t="s">
        <v>14</v>
      </c>
      <c r="G140">
        <f>COUNTIF(Data[CustomerID], Data[[#This Row],[CustomerID]])</f>
        <v>3</v>
      </c>
      <c r="H140" s="1" t="str">
        <f>TEXT(Data[OrderDate],"yyyy-mmm")</f>
        <v>2023-Mar</v>
      </c>
      <c r="I140">
        <f>IF(
   COUNTIFS(
      Data[CustomerID], Data[[#This Row],[CustomerID]],
      Data[OrderDate], "&lt;" &amp; EOMONTH(Data[[#This Row],[OrderDate]], -1) + 1
   ) &gt; 0,
   1,
   0
)</f>
        <v>1</v>
      </c>
      <c r="J140">
        <f>YEAR(Data[[#This Row],[OrderDate]])</f>
        <v>2023</v>
      </c>
      <c r="K140" s="2">
        <f>MONTH(Data[[#This Row],[OrderDate]])</f>
        <v>3</v>
      </c>
      <c r="M140" s="12">
        <v>1001</v>
      </c>
      <c r="N140" s="21">
        <f>MAX(Data[OrderDate])-_xlfn.MAXIFS(Data[OrderDate],Data[CustomerID],M140)</f>
        <v>380</v>
      </c>
      <c r="O140" s="22">
        <f>COUNTIFS(Data[CustomerID], M140)</f>
        <v>3</v>
      </c>
      <c r="P140" s="23">
        <f>SUMIFS(Data[Amount], Data[CustomerID], M140)</f>
        <v>558.4</v>
      </c>
    </row>
    <row r="141" spans="1:16" x14ac:dyDescent="0.25">
      <c r="A141">
        <v>1364</v>
      </c>
      <c r="B141">
        <v>442</v>
      </c>
      <c r="C141" s="1">
        <v>45010</v>
      </c>
      <c r="D141">
        <v>468.54</v>
      </c>
      <c r="E141" t="s">
        <v>9</v>
      </c>
      <c r="F141" t="s">
        <v>14</v>
      </c>
      <c r="G141">
        <f>COUNTIF(Data[CustomerID], Data[[#This Row],[CustomerID]])</f>
        <v>2</v>
      </c>
      <c r="H141" s="1" t="str">
        <f>TEXT(Data[OrderDate],"yyyy-mmm")</f>
        <v>2023-Mar</v>
      </c>
      <c r="I141">
        <f>IF(
   COUNTIFS(
      Data[CustomerID], Data[[#This Row],[CustomerID]],
      Data[OrderDate], "&lt;" &amp; EOMONTH(Data[[#This Row],[OrderDate]], -1) + 1
   ) &gt; 0,
   1,
   0
)</f>
        <v>0</v>
      </c>
      <c r="J141">
        <f>YEAR(Data[[#This Row],[OrderDate]])</f>
        <v>2023</v>
      </c>
      <c r="K141" s="2">
        <f>MONTH(Data[[#This Row],[OrderDate]])</f>
        <v>3</v>
      </c>
      <c r="M141" s="12">
        <v>1246</v>
      </c>
      <c r="N141" s="21">
        <f>MAX(Data[OrderDate])-_xlfn.MAXIFS(Data[OrderDate],Data[CustomerID],M141)</f>
        <v>202</v>
      </c>
      <c r="O141" s="22">
        <f>COUNTIFS(Data[CustomerID], M141)</f>
        <v>2</v>
      </c>
      <c r="P141" s="23">
        <f>SUMIFS(Data[Amount], Data[CustomerID], M141)</f>
        <v>558.06999999999994</v>
      </c>
    </row>
    <row r="142" spans="1:16" x14ac:dyDescent="0.25">
      <c r="A142">
        <v>1970</v>
      </c>
      <c r="B142">
        <v>947</v>
      </c>
      <c r="C142" s="1">
        <v>45010</v>
      </c>
      <c r="D142">
        <v>355.31</v>
      </c>
      <c r="E142" t="s">
        <v>20</v>
      </c>
      <c r="F142" t="s">
        <v>16</v>
      </c>
      <c r="G142">
        <f>COUNTIF(Data[CustomerID], Data[[#This Row],[CustomerID]])</f>
        <v>1</v>
      </c>
      <c r="H142" s="1" t="str">
        <f>TEXT(Data[OrderDate],"yyyy-mmm")</f>
        <v>2023-Mar</v>
      </c>
      <c r="I142">
        <f>IF(
   COUNTIFS(
      Data[CustomerID], Data[[#This Row],[CustomerID]],
      Data[OrderDate], "&lt;" &amp; EOMONTH(Data[[#This Row],[OrderDate]], -1) + 1
   ) &gt; 0,
   1,
   0
)</f>
        <v>0</v>
      </c>
      <c r="J142">
        <f>YEAR(Data[[#This Row],[OrderDate]])</f>
        <v>2023</v>
      </c>
      <c r="K142" s="2">
        <f>MONTH(Data[[#This Row],[OrderDate]])</f>
        <v>3</v>
      </c>
      <c r="M142" s="12">
        <v>1896</v>
      </c>
      <c r="N142" s="21">
        <f>MAX(Data[OrderDate])-_xlfn.MAXIFS(Data[OrderDate],Data[CustomerID],M142)</f>
        <v>150</v>
      </c>
      <c r="O142" s="22">
        <f>COUNTIFS(Data[CustomerID], M142)</f>
        <v>2</v>
      </c>
      <c r="P142" s="23">
        <f>SUMIFS(Data[Amount], Data[CustomerID], M142)</f>
        <v>554.35</v>
      </c>
    </row>
    <row r="143" spans="1:16" x14ac:dyDescent="0.25">
      <c r="A143">
        <v>1667</v>
      </c>
      <c r="B143">
        <v>956</v>
      </c>
      <c r="C143" s="1">
        <v>45010</v>
      </c>
      <c r="D143">
        <v>268.67</v>
      </c>
      <c r="E143" t="s">
        <v>9</v>
      </c>
      <c r="F143" t="s">
        <v>16</v>
      </c>
      <c r="G143">
        <f>COUNTIF(Data[CustomerID], Data[[#This Row],[CustomerID]])</f>
        <v>1</v>
      </c>
      <c r="H143" s="1" t="str">
        <f>TEXT(Data[OrderDate],"yyyy-mmm")</f>
        <v>2023-Mar</v>
      </c>
      <c r="I143">
        <f>IF(
   COUNTIFS(
      Data[CustomerID], Data[[#This Row],[CustomerID]],
      Data[OrderDate], "&lt;" &amp; EOMONTH(Data[[#This Row],[OrderDate]], -1) + 1
   ) &gt; 0,
   1,
   0
)</f>
        <v>0</v>
      </c>
      <c r="J143">
        <f>YEAR(Data[[#This Row],[OrderDate]])</f>
        <v>2023</v>
      </c>
      <c r="K143" s="2">
        <f>MONTH(Data[[#This Row],[OrderDate]])</f>
        <v>3</v>
      </c>
      <c r="M143" s="12">
        <v>1391</v>
      </c>
      <c r="N143" s="21">
        <f>MAX(Data[OrderDate])-_xlfn.MAXIFS(Data[OrderDate],Data[CustomerID],M143)</f>
        <v>171</v>
      </c>
      <c r="O143" s="22">
        <f>COUNTIFS(Data[CustomerID], M143)</f>
        <v>2</v>
      </c>
      <c r="P143" s="23">
        <f>SUMIFS(Data[Amount], Data[CustomerID], M143)</f>
        <v>552.29</v>
      </c>
    </row>
    <row r="144" spans="1:16" x14ac:dyDescent="0.25">
      <c r="A144">
        <v>1955</v>
      </c>
      <c r="B144">
        <v>30</v>
      </c>
      <c r="C144" s="1">
        <v>45011</v>
      </c>
      <c r="D144">
        <v>164.44</v>
      </c>
      <c r="E144" t="s">
        <v>20</v>
      </c>
      <c r="F144" t="s">
        <v>14</v>
      </c>
      <c r="G144">
        <f>COUNTIF(Data[CustomerID], Data[[#This Row],[CustomerID]])</f>
        <v>2</v>
      </c>
      <c r="H144" s="1" t="str">
        <f>TEXT(Data[OrderDate],"yyyy-mmm")</f>
        <v>2023-Mar</v>
      </c>
      <c r="I144">
        <f>IF(
   COUNTIFS(
      Data[CustomerID], Data[[#This Row],[CustomerID]],
      Data[OrderDate], "&lt;" &amp; EOMONTH(Data[[#This Row],[OrderDate]], -1) + 1
   ) &gt; 0,
   1,
   0
)</f>
        <v>0</v>
      </c>
      <c r="J144">
        <f>YEAR(Data[[#This Row],[OrderDate]])</f>
        <v>2023</v>
      </c>
      <c r="K144" s="2">
        <f>MONTH(Data[[#This Row],[OrderDate]])</f>
        <v>3</v>
      </c>
      <c r="M144" s="12">
        <v>1035</v>
      </c>
      <c r="N144" s="21">
        <f>MAX(Data[OrderDate])-_xlfn.MAXIFS(Data[OrderDate],Data[CustomerID],M144)</f>
        <v>200</v>
      </c>
      <c r="O144" s="22">
        <f>COUNTIFS(Data[CustomerID], M144)</f>
        <v>2</v>
      </c>
      <c r="P144" s="23">
        <f>SUMIFS(Data[Amount], Data[CustomerID], M144)</f>
        <v>549.95000000000005</v>
      </c>
    </row>
    <row r="145" spans="1:16" x14ac:dyDescent="0.25">
      <c r="A145">
        <v>1928</v>
      </c>
      <c r="B145">
        <v>518</v>
      </c>
      <c r="C145" s="1">
        <v>45011</v>
      </c>
      <c r="D145">
        <v>143.29</v>
      </c>
      <c r="E145" t="s">
        <v>13</v>
      </c>
      <c r="F145" t="s">
        <v>18</v>
      </c>
      <c r="G145">
        <f>COUNTIF(Data[CustomerID], Data[[#This Row],[CustomerID]])</f>
        <v>5</v>
      </c>
      <c r="H145" s="1" t="str">
        <f>TEXT(Data[OrderDate],"yyyy-mmm")</f>
        <v>2023-Mar</v>
      </c>
      <c r="I145">
        <f>IF(
   COUNTIFS(
      Data[CustomerID], Data[[#This Row],[CustomerID]],
      Data[OrderDate], "&lt;" &amp; EOMONTH(Data[[#This Row],[OrderDate]], -1) + 1
   ) &gt; 0,
   1,
   0
)</f>
        <v>0</v>
      </c>
      <c r="J145">
        <f>YEAR(Data[[#This Row],[OrderDate]])</f>
        <v>2023</v>
      </c>
      <c r="K145" s="2">
        <f>MONTH(Data[[#This Row],[OrderDate]])</f>
        <v>3</v>
      </c>
      <c r="M145" s="12">
        <v>1934</v>
      </c>
      <c r="N145" s="21">
        <f>MAX(Data[OrderDate])-_xlfn.MAXIFS(Data[OrderDate],Data[CustomerID],M145)</f>
        <v>114</v>
      </c>
      <c r="O145" s="22">
        <f>COUNTIFS(Data[CustomerID], M145)</f>
        <v>2</v>
      </c>
      <c r="P145" s="23">
        <f>SUMIFS(Data[Amount], Data[CustomerID], M145)</f>
        <v>546.25</v>
      </c>
    </row>
    <row r="146" spans="1:16" x14ac:dyDescent="0.25">
      <c r="A146">
        <v>1725</v>
      </c>
      <c r="B146">
        <v>170</v>
      </c>
      <c r="C146" s="1">
        <v>45012</v>
      </c>
      <c r="D146">
        <v>130.84</v>
      </c>
      <c r="E146" t="s">
        <v>17</v>
      </c>
      <c r="F146" t="s">
        <v>12</v>
      </c>
      <c r="G146">
        <f>COUNTIF(Data[CustomerID], Data[[#This Row],[CustomerID]])</f>
        <v>1</v>
      </c>
      <c r="H146" s="1" t="str">
        <f>TEXT(Data[OrderDate],"yyyy-mmm")</f>
        <v>2023-Mar</v>
      </c>
      <c r="I146">
        <f>IF(
   COUNTIFS(
      Data[CustomerID], Data[[#This Row],[CustomerID]],
      Data[OrderDate], "&lt;" &amp; EOMONTH(Data[[#This Row],[OrderDate]], -1) + 1
   ) &gt; 0,
   1,
   0
)</f>
        <v>0</v>
      </c>
      <c r="J146">
        <f>YEAR(Data[[#This Row],[OrderDate]])</f>
        <v>2023</v>
      </c>
      <c r="K146" s="2">
        <f>MONTH(Data[[#This Row],[OrderDate]])</f>
        <v>3</v>
      </c>
      <c r="M146" s="12">
        <v>1379</v>
      </c>
      <c r="N146" s="21">
        <f>MAX(Data[OrderDate])-_xlfn.MAXIFS(Data[OrderDate],Data[CustomerID],M146)</f>
        <v>486</v>
      </c>
      <c r="O146" s="22">
        <f>COUNTIFS(Data[CustomerID], M146)</f>
        <v>2</v>
      </c>
      <c r="P146" s="23">
        <f>SUMIFS(Data[Amount], Data[CustomerID], M146)</f>
        <v>545.88</v>
      </c>
    </row>
    <row r="147" spans="1:16" x14ac:dyDescent="0.25">
      <c r="A147">
        <v>1179</v>
      </c>
      <c r="B147">
        <v>675</v>
      </c>
      <c r="C147" s="1">
        <v>45012</v>
      </c>
      <c r="D147">
        <v>303.06</v>
      </c>
      <c r="E147" t="s">
        <v>8</v>
      </c>
      <c r="F147" t="s">
        <v>10</v>
      </c>
      <c r="G147">
        <f>COUNTIF(Data[CustomerID], Data[[#This Row],[CustomerID]])</f>
        <v>1</v>
      </c>
      <c r="H147" s="1" t="str">
        <f>TEXT(Data[OrderDate],"yyyy-mmm")</f>
        <v>2023-Mar</v>
      </c>
      <c r="I147">
        <f>IF(
   COUNTIFS(
      Data[CustomerID], Data[[#This Row],[CustomerID]],
      Data[OrderDate], "&lt;" &amp; EOMONTH(Data[[#This Row],[OrderDate]], -1) + 1
   ) &gt; 0,
   1,
   0
)</f>
        <v>0</v>
      </c>
      <c r="J147">
        <f>YEAR(Data[[#This Row],[OrderDate]])</f>
        <v>2023</v>
      </c>
      <c r="K147" s="2">
        <f>MONTH(Data[[#This Row],[OrderDate]])</f>
        <v>3</v>
      </c>
      <c r="M147" s="12">
        <v>1699</v>
      </c>
      <c r="N147" s="21">
        <f>MAX(Data[OrderDate])-_xlfn.MAXIFS(Data[OrderDate],Data[CustomerID],M147)</f>
        <v>450</v>
      </c>
      <c r="O147" s="22">
        <f>COUNTIFS(Data[CustomerID], M147)</f>
        <v>2</v>
      </c>
      <c r="P147" s="23">
        <f>SUMIFS(Data[Amount], Data[CustomerID], M147)</f>
        <v>545.16999999999996</v>
      </c>
    </row>
    <row r="148" spans="1:16" x14ac:dyDescent="0.25">
      <c r="A148">
        <v>1699</v>
      </c>
      <c r="B148">
        <v>484</v>
      </c>
      <c r="C148" s="1">
        <v>45013</v>
      </c>
      <c r="D148">
        <v>71.23</v>
      </c>
      <c r="E148" t="s">
        <v>11</v>
      </c>
      <c r="F148" t="s">
        <v>14</v>
      </c>
      <c r="G148">
        <f>COUNTIF(Data[CustomerID], Data[[#This Row],[CustomerID]])</f>
        <v>2</v>
      </c>
      <c r="H148" s="1" t="str">
        <f>TEXT(Data[OrderDate],"yyyy-mmm")</f>
        <v>2023-Mar</v>
      </c>
      <c r="I148">
        <f>IF(
   COUNTIFS(
      Data[CustomerID], Data[[#This Row],[CustomerID]],
      Data[OrderDate], "&lt;" &amp; EOMONTH(Data[[#This Row],[OrderDate]], -1) + 1
   ) &gt; 0,
   1,
   0
)</f>
        <v>0</v>
      </c>
      <c r="J148">
        <f>YEAR(Data[[#This Row],[OrderDate]])</f>
        <v>2023</v>
      </c>
      <c r="K148" s="2">
        <f>MONTH(Data[[#This Row],[OrderDate]])</f>
        <v>3</v>
      </c>
      <c r="M148" s="12">
        <v>1396</v>
      </c>
      <c r="N148" s="21">
        <f>MAX(Data[OrderDate])-_xlfn.MAXIFS(Data[OrderDate],Data[CustomerID],M148)</f>
        <v>11</v>
      </c>
      <c r="O148" s="22">
        <f>COUNTIFS(Data[CustomerID], M148)</f>
        <v>2</v>
      </c>
      <c r="P148" s="23">
        <f>SUMIFS(Data[Amount], Data[CustomerID], M148)</f>
        <v>544.67000000000007</v>
      </c>
    </row>
    <row r="149" spans="1:16" x14ac:dyDescent="0.25">
      <c r="A149">
        <v>1791</v>
      </c>
      <c r="B149">
        <v>504</v>
      </c>
      <c r="C149" s="1">
        <v>45014</v>
      </c>
      <c r="D149">
        <v>433.01</v>
      </c>
      <c r="E149" t="s">
        <v>11</v>
      </c>
      <c r="F149" t="s">
        <v>18</v>
      </c>
      <c r="G149">
        <f>COUNTIF(Data[CustomerID], Data[[#This Row],[CustomerID]])</f>
        <v>3</v>
      </c>
      <c r="H149" s="1" t="str">
        <f>TEXT(Data[OrderDate],"yyyy-mmm")</f>
        <v>2023-Mar</v>
      </c>
      <c r="I149">
        <f>IF(
   COUNTIFS(
      Data[CustomerID], Data[[#This Row],[CustomerID]],
      Data[OrderDate], "&lt;" &amp; EOMONTH(Data[[#This Row],[OrderDate]], -1) + 1
   ) &gt; 0,
   1,
   0
)</f>
        <v>0</v>
      </c>
      <c r="J149">
        <f>YEAR(Data[[#This Row],[OrderDate]])</f>
        <v>2023</v>
      </c>
      <c r="K149" s="2">
        <f>MONTH(Data[[#This Row],[OrderDate]])</f>
        <v>3</v>
      </c>
      <c r="M149" s="12">
        <v>1690</v>
      </c>
      <c r="N149" s="21">
        <f>MAX(Data[OrderDate])-_xlfn.MAXIFS(Data[OrderDate],Data[CustomerID],M149)</f>
        <v>87</v>
      </c>
      <c r="O149" s="22">
        <f>COUNTIFS(Data[CustomerID], M149)</f>
        <v>2</v>
      </c>
      <c r="P149" s="23">
        <f>SUMIFS(Data[Amount], Data[CustomerID], M149)</f>
        <v>536.39</v>
      </c>
    </row>
    <row r="150" spans="1:16" x14ac:dyDescent="0.25">
      <c r="A150">
        <v>1671</v>
      </c>
      <c r="B150">
        <v>300</v>
      </c>
      <c r="C150" s="1">
        <v>45015</v>
      </c>
      <c r="D150">
        <v>280.54000000000002</v>
      </c>
      <c r="E150" t="s">
        <v>11</v>
      </c>
      <c r="F150" t="s">
        <v>19</v>
      </c>
      <c r="G150">
        <f>COUNTIF(Data[CustomerID], Data[[#This Row],[CustomerID]])</f>
        <v>3</v>
      </c>
      <c r="H150" s="1" t="str">
        <f>TEXT(Data[OrderDate],"yyyy-mmm")</f>
        <v>2023-Mar</v>
      </c>
      <c r="I150">
        <f>IF(
   COUNTIFS(
      Data[CustomerID], Data[[#This Row],[CustomerID]],
      Data[OrderDate], "&lt;" &amp; EOMONTH(Data[[#This Row],[OrderDate]], -1) + 1
   ) &gt; 0,
   1,
   0
)</f>
        <v>0</v>
      </c>
      <c r="J150">
        <f>YEAR(Data[[#This Row],[OrderDate]])</f>
        <v>2023</v>
      </c>
      <c r="K150" s="2">
        <f>MONTH(Data[[#This Row],[OrderDate]])</f>
        <v>3</v>
      </c>
      <c r="M150" s="12">
        <v>1920</v>
      </c>
      <c r="N150" s="21">
        <f>MAX(Data[OrderDate])-_xlfn.MAXIFS(Data[OrderDate],Data[CustomerID],M150)</f>
        <v>464</v>
      </c>
      <c r="O150" s="22">
        <f>COUNTIFS(Data[CustomerID], M150)</f>
        <v>2</v>
      </c>
      <c r="P150" s="23">
        <f>SUMIFS(Data[Amount], Data[CustomerID], M150)</f>
        <v>535.45000000000005</v>
      </c>
    </row>
    <row r="151" spans="1:16" x14ac:dyDescent="0.25">
      <c r="A151">
        <v>1253</v>
      </c>
      <c r="B151">
        <v>665</v>
      </c>
      <c r="C151" s="1">
        <v>45015</v>
      </c>
      <c r="D151">
        <v>204.15</v>
      </c>
      <c r="E151" t="s">
        <v>9</v>
      </c>
      <c r="F151" t="s">
        <v>12</v>
      </c>
      <c r="G151">
        <f>COUNTIF(Data[CustomerID], Data[[#This Row],[CustomerID]])</f>
        <v>3</v>
      </c>
      <c r="H151" s="1" t="str">
        <f>TEXT(Data[OrderDate],"yyyy-mmm")</f>
        <v>2023-Mar</v>
      </c>
      <c r="I151">
        <f>IF(
   COUNTIFS(
      Data[CustomerID], Data[[#This Row],[CustomerID]],
      Data[OrderDate], "&lt;" &amp; EOMONTH(Data[[#This Row],[OrderDate]], -1) + 1
   ) &gt; 0,
   1,
   0
)</f>
        <v>1</v>
      </c>
      <c r="J151">
        <f>YEAR(Data[[#This Row],[OrderDate]])</f>
        <v>2023</v>
      </c>
      <c r="K151" s="2">
        <f>MONTH(Data[[#This Row],[OrderDate]])</f>
        <v>3</v>
      </c>
      <c r="M151" s="12">
        <v>1099</v>
      </c>
      <c r="N151" s="21">
        <f>MAX(Data[OrderDate])-_xlfn.MAXIFS(Data[OrderDate],Data[CustomerID],M151)</f>
        <v>189</v>
      </c>
      <c r="O151" s="22">
        <f>COUNTIFS(Data[CustomerID], M151)</f>
        <v>2</v>
      </c>
      <c r="P151" s="23">
        <f>SUMIFS(Data[Amount], Data[CustomerID], M151)</f>
        <v>533.47</v>
      </c>
    </row>
    <row r="152" spans="1:16" x14ac:dyDescent="0.25">
      <c r="A152">
        <v>1734</v>
      </c>
      <c r="B152">
        <v>797</v>
      </c>
      <c r="C152" s="1">
        <v>45015</v>
      </c>
      <c r="D152">
        <v>232.78</v>
      </c>
      <c r="E152" t="s">
        <v>13</v>
      </c>
      <c r="F152" t="s">
        <v>19</v>
      </c>
      <c r="G152">
        <f>COUNTIF(Data[CustomerID], Data[[#This Row],[CustomerID]])</f>
        <v>2</v>
      </c>
      <c r="H152" s="1" t="str">
        <f>TEXT(Data[OrderDate],"yyyy-mmm")</f>
        <v>2023-Mar</v>
      </c>
      <c r="I152">
        <f>IF(
   COUNTIFS(
      Data[CustomerID], Data[[#This Row],[CustomerID]],
      Data[OrderDate], "&lt;" &amp; EOMONTH(Data[[#This Row],[OrderDate]], -1) + 1
   ) &gt; 0,
   1,
   0
)</f>
        <v>1</v>
      </c>
      <c r="J152">
        <f>YEAR(Data[[#This Row],[OrderDate]])</f>
        <v>2023</v>
      </c>
      <c r="K152" s="2">
        <f>MONTH(Data[[#This Row],[OrderDate]])</f>
        <v>3</v>
      </c>
      <c r="M152" s="12">
        <v>1364</v>
      </c>
      <c r="N152" s="21">
        <f>MAX(Data[OrderDate])-_xlfn.MAXIFS(Data[OrderDate],Data[CustomerID],M152)</f>
        <v>33</v>
      </c>
      <c r="O152" s="22">
        <f>COUNTIFS(Data[CustomerID], M152)</f>
        <v>2</v>
      </c>
      <c r="P152" s="23">
        <f>SUMIFS(Data[Amount], Data[CustomerID], M152)</f>
        <v>531.77</v>
      </c>
    </row>
    <row r="153" spans="1:16" x14ac:dyDescent="0.25">
      <c r="A153">
        <v>1709</v>
      </c>
      <c r="B153">
        <v>249</v>
      </c>
      <c r="C153" s="1">
        <v>45016</v>
      </c>
      <c r="D153">
        <v>276.95999999999998</v>
      </c>
      <c r="E153" t="s">
        <v>15</v>
      </c>
      <c r="F153" t="s">
        <v>10</v>
      </c>
      <c r="G153">
        <f>COUNTIF(Data[CustomerID], Data[[#This Row],[CustomerID]])</f>
        <v>2</v>
      </c>
      <c r="H153" s="1" t="str">
        <f>TEXT(Data[OrderDate],"yyyy-mmm")</f>
        <v>2023-Mar</v>
      </c>
      <c r="I153">
        <f>IF(
   COUNTIFS(
      Data[CustomerID], Data[[#This Row],[CustomerID]],
      Data[OrderDate], "&lt;" &amp; EOMONTH(Data[[#This Row],[OrderDate]], -1) + 1
   ) &gt; 0,
   1,
   0
)</f>
        <v>0</v>
      </c>
      <c r="J153">
        <f>YEAR(Data[[#This Row],[OrderDate]])</f>
        <v>2023</v>
      </c>
      <c r="K153" s="2">
        <f>MONTH(Data[[#This Row],[OrderDate]])</f>
        <v>3</v>
      </c>
      <c r="M153" s="12">
        <v>1460</v>
      </c>
      <c r="N153" s="21">
        <f>MAX(Data[OrderDate])-_xlfn.MAXIFS(Data[OrderDate],Data[CustomerID],M153)</f>
        <v>14</v>
      </c>
      <c r="O153" s="22">
        <f>COUNTIFS(Data[CustomerID], M153)</f>
        <v>2</v>
      </c>
      <c r="P153" s="23">
        <f>SUMIFS(Data[Amount], Data[CustomerID], M153)</f>
        <v>531.64</v>
      </c>
    </row>
    <row r="154" spans="1:16" x14ac:dyDescent="0.25">
      <c r="A154">
        <v>1392</v>
      </c>
      <c r="B154">
        <v>847</v>
      </c>
      <c r="C154" s="1">
        <v>45018</v>
      </c>
      <c r="D154">
        <v>449.11</v>
      </c>
      <c r="E154" t="s">
        <v>8</v>
      </c>
      <c r="F154" t="s">
        <v>19</v>
      </c>
      <c r="G154">
        <f>COUNTIF(Data[CustomerID], Data[[#This Row],[CustomerID]])</f>
        <v>4</v>
      </c>
      <c r="H154" s="1" t="str">
        <f>TEXT(Data[OrderDate],"yyyy-mmm")</f>
        <v>2023-Apr</v>
      </c>
      <c r="I154">
        <f>IF(
   COUNTIFS(
      Data[CustomerID], Data[[#This Row],[CustomerID]],
      Data[OrderDate], "&lt;" &amp; EOMONTH(Data[[#This Row],[OrderDate]], -1) + 1
   ) &gt; 0,
   1,
   0
)</f>
        <v>0</v>
      </c>
      <c r="J154">
        <f>YEAR(Data[[#This Row],[OrderDate]])</f>
        <v>2023</v>
      </c>
      <c r="K154" s="2">
        <f>MONTH(Data[[#This Row],[OrderDate]])</f>
        <v>4</v>
      </c>
      <c r="M154" s="12">
        <v>1907</v>
      </c>
      <c r="N154" s="21">
        <f>MAX(Data[OrderDate])-_xlfn.MAXIFS(Data[OrderDate],Data[CustomerID],M154)</f>
        <v>411</v>
      </c>
      <c r="O154" s="22">
        <f>COUNTIFS(Data[CustomerID], M154)</f>
        <v>2</v>
      </c>
      <c r="P154" s="23">
        <f>SUMIFS(Data[Amount], Data[CustomerID], M154)</f>
        <v>530.23</v>
      </c>
    </row>
    <row r="155" spans="1:16" x14ac:dyDescent="0.25">
      <c r="A155">
        <v>1201</v>
      </c>
      <c r="B155">
        <v>103</v>
      </c>
      <c r="C155" s="1">
        <v>45019</v>
      </c>
      <c r="D155">
        <v>418.82</v>
      </c>
      <c r="E155" t="s">
        <v>15</v>
      </c>
      <c r="F155" t="s">
        <v>19</v>
      </c>
      <c r="G155">
        <f>COUNTIF(Data[CustomerID], Data[[#This Row],[CustomerID]])</f>
        <v>1</v>
      </c>
      <c r="H155" s="1" t="str">
        <f>TEXT(Data[OrderDate],"yyyy-mmm")</f>
        <v>2023-Apr</v>
      </c>
      <c r="I155">
        <f>IF(
   COUNTIFS(
      Data[CustomerID], Data[[#This Row],[CustomerID]],
      Data[OrderDate], "&lt;" &amp; EOMONTH(Data[[#This Row],[OrderDate]], -1) + 1
   ) &gt; 0,
   1,
   0
)</f>
        <v>0</v>
      </c>
      <c r="J155">
        <f>YEAR(Data[[#This Row],[OrderDate]])</f>
        <v>2023</v>
      </c>
      <c r="K155" s="2">
        <f>MONTH(Data[[#This Row],[OrderDate]])</f>
        <v>4</v>
      </c>
      <c r="M155" s="12">
        <v>1444</v>
      </c>
      <c r="N155" s="21">
        <f>MAX(Data[OrderDate])-_xlfn.MAXIFS(Data[OrderDate],Data[CustomerID],M155)</f>
        <v>281</v>
      </c>
      <c r="O155" s="22">
        <f>COUNTIFS(Data[CustomerID], M155)</f>
        <v>2</v>
      </c>
      <c r="P155" s="23">
        <f>SUMIFS(Data[Amount], Data[CustomerID], M155)</f>
        <v>529.29999999999995</v>
      </c>
    </row>
    <row r="156" spans="1:16" x14ac:dyDescent="0.25">
      <c r="A156">
        <v>1058</v>
      </c>
      <c r="B156">
        <v>41</v>
      </c>
      <c r="C156" s="1">
        <v>45021</v>
      </c>
      <c r="D156">
        <v>310.22000000000003</v>
      </c>
      <c r="E156" t="s">
        <v>11</v>
      </c>
      <c r="F156" t="s">
        <v>16</v>
      </c>
      <c r="G156">
        <f>COUNTIF(Data[CustomerID], Data[[#This Row],[CustomerID]])</f>
        <v>1</v>
      </c>
      <c r="H156" s="1" t="str">
        <f>TEXT(Data[OrderDate],"yyyy-mmm")</f>
        <v>2023-Apr</v>
      </c>
      <c r="I156">
        <f>IF(
   COUNTIFS(
      Data[CustomerID], Data[[#This Row],[CustomerID]],
      Data[OrderDate], "&lt;" &amp; EOMONTH(Data[[#This Row],[OrderDate]], -1) + 1
   ) &gt; 0,
   1,
   0
)</f>
        <v>0</v>
      </c>
      <c r="J156">
        <f>YEAR(Data[[#This Row],[OrderDate]])</f>
        <v>2023</v>
      </c>
      <c r="K156" s="2">
        <f>MONTH(Data[[#This Row],[OrderDate]])</f>
        <v>4</v>
      </c>
      <c r="M156" s="12">
        <v>1475</v>
      </c>
      <c r="N156" s="21">
        <f>MAX(Data[OrderDate])-_xlfn.MAXIFS(Data[OrderDate],Data[CustomerID],M156)</f>
        <v>25</v>
      </c>
      <c r="O156" s="22">
        <f>COUNTIFS(Data[CustomerID], M156)</f>
        <v>2</v>
      </c>
      <c r="P156" s="23">
        <f>SUMIFS(Data[Amount], Data[CustomerID], M156)</f>
        <v>528.83000000000004</v>
      </c>
    </row>
    <row r="157" spans="1:16" x14ac:dyDescent="0.25">
      <c r="A157">
        <v>1105</v>
      </c>
      <c r="B157">
        <v>94</v>
      </c>
      <c r="C157" s="1">
        <v>45021</v>
      </c>
      <c r="D157">
        <v>305.06</v>
      </c>
      <c r="E157" t="s">
        <v>15</v>
      </c>
      <c r="F157" t="s">
        <v>16</v>
      </c>
      <c r="G157">
        <f>COUNTIF(Data[CustomerID], Data[[#This Row],[CustomerID]])</f>
        <v>2</v>
      </c>
      <c r="H157" s="1" t="str">
        <f>TEXT(Data[OrderDate],"yyyy-mmm")</f>
        <v>2023-Apr</v>
      </c>
      <c r="I157">
        <f>IF(
   COUNTIFS(
      Data[CustomerID], Data[[#This Row],[CustomerID]],
      Data[OrderDate], "&lt;" &amp; EOMONTH(Data[[#This Row],[OrderDate]], -1) + 1
   ) &gt; 0,
   1,
   0
)</f>
        <v>0</v>
      </c>
      <c r="J157">
        <f>YEAR(Data[[#This Row],[OrderDate]])</f>
        <v>2023</v>
      </c>
      <c r="K157" s="2">
        <f>MONTH(Data[[#This Row],[OrderDate]])</f>
        <v>4</v>
      </c>
      <c r="M157" s="12">
        <v>1656</v>
      </c>
      <c r="N157" s="21">
        <f>MAX(Data[OrderDate])-_xlfn.MAXIFS(Data[OrderDate],Data[CustomerID],M157)</f>
        <v>404</v>
      </c>
      <c r="O157" s="22">
        <f>COUNTIFS(Data[CustomerID], M157)</f>
        <v>2</v>
      </c>
      <c r="P157" s="23">
        <f>SUMIFS(Data[Amount], Data[CustomerID], M157)</f>
        <v>526.37</v>
      </c>
    </row>
    <row r="158" spans="1:16" x14ac:dyDescent="0.25">
      <c r="A158">
        <v>1267</v>
      </c>
      <c r="B158">
        <v>273</v>
      </c>
      <c r="C158" s="1">
        <v>45021</v>
      </c>
      <c r="D158">
        <v>488.48</v>
      </c>
      <c r="E158" t="s">
        <v>8</v>
      </c>
      <c r="F158" t="s">
        <v>12</v>
      </c>
      <c r="G158">
        <f>COUNTIF(Data[CustomerID], Data[[#This Row],[CustomerID]])</f>
        <v>2</v>
      </c>
      <c r="H158" s="1" t="str">
        <f>TEXT(Data[OrderDate],"yyyy-mmm")</f>
        <v>2023-Apr</v>
      </c>
      <c r="I158">
        <f>IF(
   COUNTIFS(
      Data[CustomerID], Data[[#This Row],[CustomerID]],
      Data[OrderDate], "&lt;" &amp; EOMONTH(Data[[#This Row],[OrderDate]], -1) + 1
   ) &gt; 0,
   1,
   0
)</f>
        <v>0</v>
      </c>
      <c r="J158">
        <f>YEAR(Data[[#This Row],[OrderDate]])</f>
        <v>2023</v>
      </c>
      <c r="K158" s="2">
        <f>MONTH(Data[[#This Row],[OrderDate]])</f>
        <v>4</v>
      </c>
      <c r="M158" s="12">
        <v>1130</v>
      </c>
      <c r="N158" s="21">
        <f>MAX(Data[OrderDate])-_xlfn.MAXIFS(Data[OrderDate],Data[CustomerID],M158)</f>
        <v>17</v>
      </c>
      <c r="O158" s="22">
        <f>COUNTIFS(Data[CustomerID], M158)</f>
        <v>3</v>
      </c>
      <c r="P158" s="23">
        <f>SUMIFS(Data[Amount], Data[CustomerID], M158)</f>
        <v>523.91000000000008</v>
      </c>
    </row>
    <row r="159" spans="1:16" x14ac:dyDescent="0.25">
      <c r="A159">
        <v>1262</v>
      </c>
      <c r="B159">
        <v>361</v>
      </c>
      <c r="C159" s="1">
        <v>45021</v>
      </c>
      <c r="D159">
        <v>292.33999999999997</v>
      </c>
      <c r="E159" t="s">
        <v>11</v>
      </c>
      <c r="F159" t="s">
        <v>10</v>
      </c>
      <c r="G159">
        <f>COUNTIF(Data[CustomerID], Data[[#This Row],[CustomerID]])</f>
        <v>1</v>
      </c>
      <c r="H159" s="1" t="str">
        <f>TEXT(Data[OrderDate],"yyyy-mmm")</f>
        <v>2023-Apr</v>
      </c>
      <c r="I159">
        <f>IF(
   COUNTIFS(
      Data[CustomerID], Data[[#This Row],[CustomerID]],
      Data[OrderDate], "&lt;" &amp; EOMONTH(Data[[#This Row],[OrderDate]], -1) + 1
   ) &gt; 0,
   1,
   0
)</f>
        <v>0</v>
      </c>
      <c r="J159">
        <f>YEAR(Data[[#This Row],[OrderDate]])</f>
        <v>2023</v>
      </c>
      <c r="K159" s="2">
        <f>MONTH(Data[[#This Row],[OrderDate]])</f>
        <v>4</v>
      </c>
      <c r="M159" s="12">
        <v>1992</v>
      </c>
      <c r="N159" s="21">
        <f>MAX(Data[OrderDate])-_xlfn.MAXIFS(Data[OrderDate],Data[CustomerID],M159)</f>
        <v>322</v>
      </c>
      <c r="O159" s="22">
        <f>COUNTIFS(Data[CustomerID], M159)</f>
        <v>2</v>
      </c>
      <c r="P159" s="23">
        <f>SUMIFS(Data[Amount], Data[CustomerID], M159)</f>
        <v>522.37</v>
      </c>
    </row>
    <row r="160" spans="1:16" x14ac:dyDescent="0.25">
      <c r="A160">
        <v>1685</v>
      </c>
      <c r="B160">
        <v>503</v>
      </c>
      <c r="C160" s="1">
        <v>45022</v>
      </c>
      <c r="D160">
        <v>67.959999999999994</v>
      </c>
      <c r="E160" t="s">
        <v>11</v>
      </c>
      <c r="F160" t="s">
        <v>7</v>
      </c>
      <c r="G160">
        <f>COUNTIF(Data[CustomerID], Data[[#This Row],[CustomerID]])</f>
        <v>1</v>
      </c>
      <c r="H160" s="1" t="str">
        <f>TEXT(Data[OrderDate],"yyyy-mmm")</f>
        <v>2023-Apr</v>
      </c>
      <c r="I160">
        <f>IF(
   COUNTIFS(
      Data[CustomerID], Data[[#This Row],[CustomerID]],
      Data[OrderDate], "&lt;" &amp; EOMONTH(Data[[#This Row],[OrderDate]], -1) + 1
   ) &gt; 0,
   1,
   0
)</f>
        <v>0</v>
      </c>
      <c r="J160">
        <f>YEAR(Data[[#This Row],[OrderDate]])</f>
        <v>2023</v>
      </c>
      <c r="K160" s="2">
        <f>MONTH(Data[[#This Row],[OrderDate]])</f>
        <v>4</v>
      </c>
      <c r="M160" s="12">
        <v>1472</v>
      </c>
      <c r="N160" s="21">
        <f>MAX(Data[OrderDate])-_xlfn.MAXIFS(Data[OrderDate],Data[CustomerID],M160)</f>
        <v>280</v>
      </c>
      <c r="O160" s="22">
        <f>COUNTIFS(Data[CustomerID], M160)</f>
        <v>3</v>
      </c>
      <c r="P160" s="23">
        <f>SUMIFS(Data[Amount], Data[CustomerID], M160)</f>
        <v>507.35999999999996</v>
      </c>
    </row>
    <row r="161" spans="1:16" x14ac:dyDescent="0.25">
      <c r="A161">
        <v>1510</v>
      </c>
      <c r="B161">
        <v>337</v>
      </c>
      <c r="C161" s="1">
        <v>45023</v>
      </c>
      <c r="D161">
        <v>136.12</v>
      </c>
      <c r="E161" t="s">
        <v>13</v>
      </c>
      <c r="F161" t="s">
        <v>18</v>
      </c>
      <c r="G161">
        <f>COUNTIF(Data[CustomerID], Data[[#This Row],[CustomerID]])</f>
        <v>4</v>
      </c>
      <c r="H161" s="1" t="str">
        <f>TEXT(Data[OrderDate],"yyyy-mmm")</f>
        <v>2023-Apr</v>
      </c>
      <c r="I161">
        <f>IF(
   COUNTIFS(
      Data[CustomerID], Data[[#This Row],[CustomerID]],
      Data[OrderDate], "&lt;" &amp; EOMONTH(Data[[#This Row],[OrderDate]], -1) + 1
   ) &gt; 0,
   1,
   0
)</f>
        <v>1</v>
      </c>
      <c r="J161">
        <f>YEAR(Data[[#This Row],[OrderDate]])</f>
        <v>2023</v>
      </c>
      <c r="K161" s="2">
        <f>MONTH(Data[[#This Row],[OrderDate]])</f>
        <v>4</v>
      </c>
      <c r="M161" s="12">
        <v>1406</v>
      </c>
      <c r="N161" s="21">
        <f>MAX(Data[OrderDate])-_xlfn.MAXIFS(Data[OrderDate],Data[CustomerID],M161)</f>
        <v>38</v>
      </c>
      <c r="O161" s="22">
        <f>COUNTIFS(Data[CustomerID], M161)</f>
        <v>2</v>
      </c>
      <c r="P161" s="23">
        <f>SUMIFS(Data[Amount], Data[CustomerID], M161)</f>
        <v>506.15</v>
      </c>
    </row>
    <row r="162" spans="1:16" x14ac:dyDescent="0.25">
      <c r="A162">
        <v>1273</v>
      </c>
      <c r="B162">
        <v>65</v>
      </c>
      <c r="C162" s="1">
        <v>45024</v>
      </c>
      <c r="D162">
        <v>373.42</v>
      </c>
      <c r="E162" t="s">
        <v>11</v>
      </c>
      <c r="F162" t="s">
        <v>16</v>
      </c>
      <c r="G162">
        <f>COUNTIF(Data[CustomerID], Data[[#This Row],[CustomerID]])</f>
        <v>1</v>
      </c>
      <c r="H162" s="1" t="str">
        <f>TEXT(Data[OrderDate],"yyyy-mmm")</f>
        <v>2023-Apr</v>
      </c>
      <c r="I162">
        <f>IF(
   COUNTIFS(
      Data[CustomerID], Data[[#This Row],[CustomerID]],
      Data[OrderDate], "&lt;" &amp; EOMONTH(Data[[#This Row],[OrderDate]], -1) + 1
   ) &gt; 0,
   1,
   0
)</f>
        <v>0</v>
      </c>
      <c r="J162">
        <f>YEAR(Data[[#This Row],[OrderDate]])</f>
        <v>2023</v>
      </c>
      <c r="K162" s="2">
        <f>MONTH(Data[[#This Row],[OrderDate]])</f>
        <v>4</v>
      </c>
      <c r="M162" s="12">
        <v>1875</v>
      </c>
      <c r="N162" s="21">
        <f>MAX(Data[OrderDate])-_xlfn.MAXIFS(Data[OrderDate],Data[CustomerID],M162)</f>
        <v>311</v>
      </c>
      <c r="O162" s="22">
        <f>COUNTIFS(Data[CustomerID], M162)</f>
        <v>2</v>
      </c>
      <c r="P162" s="23">
        <f>SUMIFS(Data[Amount], Data[CustomerID], M162)</f>
        <v>501.83</v>
      </c>
    </row>
    <row r="163" spans="1:16" x14ac:dyDescent="0.25">
      <c r="A163">
        <v>1740</v>
      </c>
      <c r="B163">
        <v>607</v>
      </c>
      <c r="C163" s="1">
        <v>45024</v>
      </c>
      <c r="D163">
        <v>58.43</v>
      </c>
      <c r="E163" t="s">
        <v>15</v>
      </c>
      <c r="F163" t="s">
        <v>7</v>
      </c>
      <c r="G163">
        <f>COUNTIF(Data[CustomerID], Data[[#This Row],[CustomerID]])</f>
        <v>1</v>
      </c>
      <c r="H163" s="1" t="str">
        <f>TEXT(Data[OrderDate],"yyyy-mmm")</f>
        <v>2023-Apr</v>
      </c>
      <c r="I163">
        <f>IF(
   COUNTIFS(
      Data[CustomerID], Data[[#This Row],[CustomerID]],
      Data[OrderDate], "&lt;" &amp; EOMONTH(Data[[#This Row],[OrderDate]], -1) + 1
   ) &gt; 0,
   1,
   0
)</f>
        <v>0</v>
      </c>
      <c r="J163">
        <f>YEAR(Data[[#This Row],[OrderDate]])</f>
        <v>2023</v>
      </c>
      <c r="K163" s="2">
        <f>MONTH(Data[[#This Row],[OrderDate]])</f>
        <v>4</v>
      </c>
      <c r="M163" s="12">
        <v>1172</v>
      </c>
      <c r="N163" s="21">
        <f>MAX(Data[OrderDate])-_xlfn.MAXIFS(Data[OrderDate],Data[CustomerID],M163)</f>
        <v>467</v>
      </c>
      <c r="O163" s="22">
        <f>COUNTIFS(Data[CustomerID], M163)</f>
        <v>2</v>
      </c>
      <c r="P163" s="23">
        <f>SUMIFS(Data[Amount], Data[CustomerID], M163)</f>
        <v>501.07</v>
      </c>
    </row>
    <row r="164" spans="1:16" x14ac:dyDescent="0.25">
      <c r="A164">
        <v>1689</v>
      </c>
      <c r="B164">
        <v>698</v>
      </c>
      <c r="C164" s="1">
        <v>45024</v>
      </c>
      <c r="D164">
        <v>250.6</v>
      </c>
      <c r="E164" t="s">
        <v>8</v>
      </c>
      <c r="F164" t="s">
        <v>18</v>
      </c>
      <c r="G164">
        <f>COUNTIF(Data[CustomerID], Data[[#This Row],[CustomerID]])</f>
        <v>1</v>
      </c>
      <c r="H164" s="1" t="str">
        <f>TEXT(Data[OrderDate],"yyyy-mmm")</f>
        <v>2023-Apr</v>
      </c>
      <c r="I164">
        <f>IF(
   COUNTIFS(
      Data[CustomerID], Data[[#This Row],[CustomerID]],
      Data[OrderDate], "&lt;" &amp; EOMONTH(Data[[#This Row],[OrderDate]], -1) + 1
   ) &gt; 0,
   1,
   0
)</f>
        <v>0</v>
      </c>
      <c r="J164">
        <f>YEAR(Data[[#This Row],[OrderDate]])</f>
        <v>2023</v>
      </c>
      <c r="K164" s="2">
        <f>MONTH(Data[[#This Row],[OrderDate]])</f>
        <v>4</v>
      </c>
      <c r="M164" s="12">
        <v>1600</v>
      </c>
      <c r="N164" s="21">
        <f>MAX(Data[OrderDate])-_xlfn.MAXIFS(Data[OrderDate],Data[CustomerID],M164)</f>
        <v>250</v>
      </c>
      <c r="O164" s="22">
        <f>COUNTIFS(Data[CustomerID], M164)</f>
        <v>2</v>
      </c>
      <c r="P164" s="23">
        <f>SUMIFS(Data[Amount], Data[CustomerID], M164)</f>
        <v>500.89</v>
      </c>
    </row>
    <row r="165" spans="1:16" x14ac:dyDescent="0.25">
      <c r="A165">
        <v>1372</v>
      </c>
      <c r="B165">
        <v>16</v>
      </c>
      <c r="C165" s="1">
        <v>45025</v>
      </c>
      <c r="D165">
        <v>55.88</v>
      </c>
      <c r="E165" t="s">
        <v>20</v>
      </c>
      <c r="F165" t="s">
        <v>19</v>
      </c>
      <c r="G165">
        <f>COUNTIF(Data[CustomerID], Data[[#This Row],[CustomerID]])</f>
        <v>4</v>
      </c>
      <c r="H165" s="1" t="str">
        <f>TEXT(Data[OrderDate],"yyyy-mmm")</f>
        <v>2023-Apr</v>
      </c>
      <c r="I165">
        <f>IF(
   COUNTIFS(
      Data[CustomerID], Data[[#This Row],[CustomerID]],
      Data[OrderDate], "&lt;" &amp; EOMONTH(Data[[#This Row],[OrderDate]], -1) + 1
   ) &gt; 0,
   1,
   0
)</f>
        <v>0</v>
      </c>
      <c r="J165">
        <f>YEAR(Data[[#This Row],[OrderDate]])</f>
        <v>2023</v>
      </c>
      <c r="K165" s="2">
        <f>MONTH(Data[[#This Row],[OrderDate]])</f>
        <v>4</v>
      </c>
      <c r="M165" s="12">
        <v>1300</v>
      </c>
      <c r="N165" s="21">
        <f>MAX(Data[OrderDate])-_xlfn.MAXIFS(Data[OrderDate],Data[CustomerID],M165)</f>
        <v>274</v>
      </c>
      <c r="O165" s="22">
        <f>COUNTIFS(Data[CustomerID], M165)</f>
        <v>1</v>
      </c>
      <c r="P165" s="23">
        <f>SUMIFS(Data[Amount], Data[CustomerID], M165)</f>
        <v>498.55</v>
      </c>
    </row>
    <row r="166" spans="1:16" x14ac:dyDescent="0.25">
      <c r="A166">
        <v>1018</v>
      </c>
      <c r="B166">
        <v>785</v>
      </c>
      <c r="C166" s="1">
        <v>45025</v>
      </c>
      <c r="D166">
        <v>273.56</v>
      </c>
      <c r="E166" t="s">
        <v>20</v>
      </c>
      <c r="F166" t="s">
        <v>18</v>
      </c>
      <c r="G166">
        <f>COUNTIF(Data[CustomerID], Data[[#This Row],[CustomerID]])</f>
        <v>1</v>
      </c>
      <c r="H166" s="1" t="str">
        <f>TEXT(Data[OrderDate],"yyyy-mmm")</f>
        <v>2023-Apr</v>
      </c>
      <c r="I166">
        <f>IF(
   COUNTIFS(
      Data[CustomerID], Data[[#This Row],[CustomerID]],
      Data[OrderDate], "&lt;" &amp; EOMONTH(Data[[#This Row],[OrderDate]], -1) + 1
   ) &gt; 0,
   1,
   0
)</f>
        <v>0</v>
      </c>
      <c r="J166">
        <f>YEAR(Data[[#This Row],[OrderDate]])</f>
        <v>2023</v>
      </c>
      <c r="K166" s="2">
        <f>MONTH(Data[[#This Row],[OrderDate]])</f>
        <v>4</v>
      </c>
      <c r="M166" s="12">
        <v>1989</v>
      </c>
      <c r="N166" s="21">
        <f>MAX(Data[OrderDate])-_xlfn.MAXIFS(Data[OrderDate],Data[CustomerID],M166)</f>
        <v>15</v>
      </c>
      <c r="O166" s="22">
        <f>COUNTIFS(Data[CustomerID], M166)</f>
        <v>1</v>
      </c>
      <c r="P166" s="23">
        <f>SUMIFS(Data[Amount], Data[CustomerID], M166)</f>
        <v>497.76</v>
      </c>
    </row>
    <row r="167" spans="1:16" x14ac:dyDescent="0.25">
      <c r="A167">
        <v>1414</v>
      </c>
      <c r="B167">
        <v>938</v>
      </c>
      <c r="C167" s="1">
        <v>45025</v>
      </c>
      <c r="D167">
        <v>68.78</v>
      </c>
      <c r="E167" t="s">
        <v>20</v>
      </c>
      <c r="F167" t="s">
        <v>18</v>
      </c>
      <c r="G167">
        <f>COUNTIF(Data[CustomerID], Data[[#This Row],[CustomerID]])</f>
        <v>3</v>
      </c>
      <c r="H167" s="1" t="str">
        <f>TEXT(Data[OrderDate],"yyyy-mmm")</f>
        <v>2023-Apr</v>
      </c>
      <c r="I167">
        <f>IF(
   COUNTIFS(
      Data[CustomerID], Data[[#This Row],[CustomerID]],
      Data[OrderDate], "&lt;" &amp; EOMONTH(Data[[#This Row],[OrderDate]], -1) + 1
   ) &gt; 0,
   1,
   0
)</f>
        <v>0</v>
      </c>
      <c r="J167">
        <f>YEAR(Data[[#This Row],[OrderDate]])</f>
        <v>2023</v>
      </c>
      <c r="K167" s="2">
        <f>MONTH(Data[[#This Row],[OrderDate]])</f>
        <v>4</v>
      </c>
      <c r="M167" s="12">
        <v>1162</v>
      </c>
      <c r="N167" s="21">
        <f>MAX(Data[OrderDate])-_xlfn.MAXIFS(Data[OrderDate],Data[CustomerID],M167)</f>
        <v>12</v>
      </c>
      <c r="O167" s="22">
        <f>COUNTIFS(Data[CustomerID], M167)</f>
        <v>2</v>
      </c>
      <c r="P167" s="23">
        <f>SUMIFS(Data[Amount], Data[CustomerID], M167)</f>
        <v>497.16999999999996</v>
      </c>
    </row>
    <row r="168" spans="1:16" x14ac:dyDescent="0.25">
      <c r="A168">
        <v>1996</v>
      </c>
      <c r="B168">
        <v>644</v>
      </c>
      <c r="C168" s="1">
        <v>45028</v>
      </c>
      <c r="D168">
        <v>10.46</v>
      </c>
      <c r="E168" t="s">
        <v>13</v>
      </c>
      <c r="F168" t="s">
        <v>12</v>
      </c>
      <c r="G168">
        <f>COUNTIF(Data[CustomerID], Data[[#This Row],[CustomerID]])</f>
        <v>2</v>
      </c>
      <c r="H168" s="1" t="str">
        <f>TEXT(Data[OrderDate],"yyyy-mmm")</f>
        <v>2023-Apr</v>
      </c>
      <c r="I168">
        <f>IF(
   COUNTIFS(
      Data[CustomerID], Data[[#This Row],[CustomerID]],
      Data[OrderDate], "&lt;" &amp; EOMONTH(Data[[#This Row],[OrderDate]], -1) + 1
   ) &gt; 0,
   1,
   0
)</f>
        <v>0</v>
      </c>
      <c r="J168">
        <f>YEAR(Data[[#This Row],[OrderDate]])</f>
        <v>2023</v>
      </c>
      <c r="K168" s="2">
        <f>MONTH(Data[[#This Row],[OrderDate]])</f>
        <v>4</v>
      </c>
      <c r="M168" s="12">
        <v>1654</v>
      </c>
      <c r="N168" s="21">
        <f>MAX(Data[OrderDate])-_xlfn.MAXIFS(Data[OrderDate],Data[CustomerID],M168)</f>
        <v>197</v>
      </c>
      <c r="O168" s="22">
        <f>COUNTIFS(Data[CustomerID], M168)</f>
        <v>1</v>
      </c>
      <c r="P168" s="23">
        <f>SUMIFS(Data[Amount], Data[CustomerID], M168)</f>
        <v>496.7</v>
      </c>
    </row>
    <row r="169" spans="1:16" x14ac:dyDescent="0.25">
      <c r="A169">
        <v>1020</v>
      </c>
      <c r="B169">
        <v>62</v>
      </c>
      <c r="C169" s="1">
        <v>45029</v>
      </c>
      <c r="D169">
        <v>309.79000000000002</v>
      </c>
      <c r="E169" t="s">
        <v>15</v>
      </c>
      <c r="F169" t="s">
        <v>18</v>
      </c>
      <c r="G169">
        <f>COUNTIF(Data[CustomerID], Data[[#This Row],[CustomerID]])</f>
        <v>2</v>
      </c>
      <c r="H169" s="1" t="str">
        <f>TEXT(Data[OrderDate],"yyyy-mmm")</f>
        <v>2023-Apr</v>
      </c>
      <c r="I169">
        <f>IF(
   COUNTIFS(
      Data[CustomerID], Data[[#This Row],[CustomerID]],
      Data[OrderDate], "&lt;" &amp; EOMONTH(Data[[#This Row],[OrderDate]], -1) + 1
   ) &gt; 0,
   1,
   0
)</f>
        <v>0</v>
      </c>
      <c r="J169">
        <f>YEAR(Data[[#This Row],[OrderDate]])</f>
        <v>2023</v>
      </c>
      <c r="K169" s="2">
        <f>MONTH(Data[[#This Row],[OrderDate]])</f>
        <v>4</v>
      </c>
      <c r="M169" s="12">
        <v>1822</v>
      </c>
      <c r="N169" s="21">
        <f>MAX(Data[OrderDate])-_xlfn.MAXIFS(Data[OrderDate],Data[CustomerID],M169)</f>
        <v>66</v>
      </c>
      <c r="O169" s="22">
        <f>COUNTIFS(Data[CustomerID], M169)</f>
        <v>1</v>
      </c>
      <c r="P169" s="23">
        <f>SUMIFS(Data[Amount], Data[CustomerID], M169)</f>
        <v>496.25</v>
      </c>
    </row>
    <row r="170" spans="1:16" x14ac:dyDescent="0.25">
      <c r="A170">
        <v>1981</v>
      </c>
      <c r="B170">
        <v>317</v>
      </c>
      <c r="C170" s="1">
        <v>45030</v>
      </c>
      <c r="D170">
        <v>118.97</v>
      </c>
      <c r="E170" t="s">
        <v>6</v>
      </c>
      <c r="F170" t="s">
        <v>10</v>
      </c>
      <c r="G170">
        <f>COUNTIF(Data[CustomerID], Data[[#This Row],[CustomerID]])</f>
        <v>1</v>
      </c>
      <c r="H170" s="1" t="str">
        <f>TEXT(Data[OrderDate],"yyyy-mmm")</f>
        <v>2023-Apr</v>
      </c>
      <c r="I170">
        <f>IF(
   COUNTIFS(
      Data[CustomerID], Data[[#This Row],[CustomerID]],
      Data[OrderDate], "&lt;" &amp; EOMONTH(Data[[#This Row],[OrderDate]], -1) + 1
   ) &gt; 0,
   1,
   0
)</f>
        <v>0</v>
      </c>
      <c r="J170">
        <f>YEAR(Data[[#This Row],[OrderDate]])</f>
        <v>2023</v>
      </c>
      <c r="K170" s="2">
        <f>MONTH(Data[[#This Row],[OrderDate]])</f>
        <v>4</v>
      </c>
      <c r="M170" s="12">
        <v>1702</v>
      </c>
      <c r="N170" s="21">
        <f>MAX(Data[OrderDate])-_xlfn.MAXIFS(Data[OrderDate],Data[CustomerID],M170)</f>
        <v>4</v>
      </c>
      <c r="O170" s="22">
        <f>COUNTIFS(Data[CustomerID], M170)</f>
        <v>1</v>
      </c>
      <c r="P170" s="23">
        <f>SUMIFS(Data[Amount], Data[CustomerID], M170)</f>
        <v>496.11</v>
      </c>
    </row>
    <row r="171" spans="1:16" x14ac:dyDescent="0.25">
      <c r="A171">
        <v>1087</v>
      </c>
      <c r="B171">
        <v>15</v>
      </c>
      <c r="C171" s="1">
        <v>45031</v>
      </c>
      <c r="D171">
        <v>77.23</v>
      </c>
      <c r="E171" t="s">
        <v>20</v>
      </c>
      <c r="F171" t="s">
        <v>14</v>
      </c>
      <c r="G171">
        <f>COUNTIF(Data[CustomerID], Data[[#This Row],[CustomerID]])</f>
        <v>1</v>
      </c>
      <c r="H171" s="1" t="str">
        <f>TEXT(Data[OrderDate],"yyyy-mmm")</f>
        <v>2023-Apr</v>
      </c>
      <c r="I171">
        <f>IF(
   COUNTIFS(
      Data[CustomerID], Data[[#This Row],[CustomerID]],
      Data[OrderDate], "&lt;" &amp; EOMONTH(Data[[#This Row],[OrderDate]], -1) + 1
   ) &gt; 0,
   1,
   0
)</f>
        <v>0</v>
      </c>
      <c r="J171">
        <f>YEAR(Data[[#This Row],[OrderDate]])</f>
        <v>2023</v>
      </c>
      <c r="K171" s="2">
        <f>MONTH(Data[[#This Row],[OrderDate]])</f>
        <v>4</v>
      </c>
      <c r="M171" s="12">
        <v>1399</v>
      </c>
      <c r="N171" s="21">
        <f>MAX(Data[OrderDate])-_xlfn.MAXIFS(Data[OrderDate],Data[CustomerID],M171)</f>
        <v>68</v>
      </c>
      <c r="O171" s="22">
        <f>COUNTIFS(Data[CustomerID], M171)</f>
        <v>1</v>
      </c>
      <c r="P171" s="23">
        <f>SUMIFS(Data[Amount], Data[CustomerID], M171)</f>
        <v>495.84</v>
      </c>
    </row>
    <row r="172" spans="1:16" x14ac:dyDescent="0.25">
      <c r="A172">
        <v>1339</v>
      </c>
      <c r="B172">
        <v>75</v>
      </c>
      <c r="C172" s="1">
        <v>45032</v>
      </c>
      <c r="D172">
        <v>45.36</v>
      </c>
      <c r="E172" t="s">
        <v>17</v>
      </c>
      <c r="F172" t="s">
        <v>10</v>
      </c>
      <c r="G172">
        <f>COUNTIF(Data[CustomerID], Data[[#This Row],[CustomerID]])</f>
        <v>2</v>
      </c>
      <c r="H172" s="1" t="str">
        <f>TEXT(Data[OrderDate],"yyyy-mmm")</f>
        <v>2023-Apr</v>
      </c>
      <c r="I172">
        <f>IF(
   COUNTIFS(
      Data[CustomerID], Data[[#This Row],[CustomerID]],
      Data[OrderDate], "&lt;" &amp; EOMONTH(Data[[#This Row],[OrderDate]], -1) + 1
   ) &gt; 0,
   1,
   0
)</f>
        <v>0</v>
      </c>
      <c r="J172">
        <f>YEAR(Data[[#This Row],[OrderDate]])</f>
        <v>2023</v>
      </c>
      <c r="K172" s="2">
        <f>MONTH(Data[[#This Row],[OrderDate]])</f>
        <v>4</v>
      </c>
      <c r="M172" s="12">
        <v>1544</v>
      </c>
      <c r="N172" s="21">
        <f>MAX(Data[OrderDate])-_xlfn.MAXIFS(Data[OrderDate],Data[CustomerID],M172)</f>
        <v>517</v>
      </c>
      <c r="O172" s="22">
        <f>COUNTIFS(Data[CustomerID], M172)</f>
        <v>1</v>
      </c>
      <c r="P172" s="23">
        <f>SUMIFS(Data[Amount], Data[CustomerID], M172)</f>
        <v>495.61</v>
      </c>
    </row>
    <row r="173" spans="1:16" x14ac:dyDescent="0.25">
      <c r="A173">
        <v>1919</v>
      </c>
      <c r="B173">
        <v>388</v>
      </c>
      <c r="C173" s="1">
        <v>45032</v>
      </c>
      <c r="D173">
        <v>83.86</v>
      </c>
      <c r="E173" t="s">
        <v>15</v>
      </c>
      <c r="F173" t="s">
        <v>7</v>
      </c>
      <c r="G173">
        <f>COUNTIF(Data[CustomerID], Data[[#This Row],[CustomerID]])</f>
        <v>2</v>
      </c>
      <c r="H173" s="1" t="str">
        <f>TEXT(Data[OrderDate],"yyyy-mmm")</f>
        <v>2023-Apr</v>
      </c>
      <c r="I173">
        <f>IF(
   COUNTIFS(
      Data[CustomerID], Data[[#This Row],[CustomerID]],
      Data[OrderDate], "&lt;" &amp; EOMONTH(Data[[#This Row],[OrderDate]], -1) + 1
   ) &gt; 0,
   1,
   0
)</f>
        <v>0</v>
      </c>
      <c r="J173">
        <f>YEAR(Data[[#This Row],[OrderDate]])</f>
        <v>2023</v>
      </c>
      <c r="K173" s="2">
        <f>MONTH(Data[[#This Row],[OrderDate]])</f>
        <v>4</v>
      </c>
      <c r="M173" s="12">
        <v>1144</v>
      </c>
      <c r="N173" s="21">
        <f>MAX(Data[OrderDate])-_xlfn.MAXIFS(Data[OrderDate],Data[CustomerID],M173)</f>
        <v>391</v>
      </c>
      <c r="O173" s="22">
        <f>COUNTIFS(Data[CustomerID], M173)</f>
        <v>1</v>
      </c>
      <c r="P173" s="23">
        <f>SUMIFS(Data[Amount], Data[CustomerID], M173)</f>
        <v>494.57</v>
      </c>
    </row>
    <row r="174" spans="1:16" x14ac:dyDescent="0.25">
      <c r="A174">
        <v>1014</v>
      </c>
      <c r="B174">
        <v>131</v>
      </c>
      <c r="C174" s="1">
        <v>45033</v>
      </c>
      <c r="D174">
        <v>223.8</v>
      </c>
      <c r="E174" t="s">
        <v>11</v>
      </c>
      <c r="F174" t="s">
        <v>12</v>
      </c>
      <c r="G174">
        <f>COUNTIF(Data[CustomerID], Data[[#This Row],[CustomerID]])</f>
        <v>2</v>
      </c>
      <c r="H174" s="1" t="str">
        <f>TEXT(Data[OrderDate],"yyyy-mmm")</f>
        <v>2023-Apr</v>
      </c>
      <c r="I174">
        <f>IF(
   COUNTIFS(
      Data[CustomerID], Data[[#This Row],[CustomerID]],
      Data[OrderDate], "&lt;" &amp; EOMONTH(Data[[#This Row],[OrderDate]], -1) + 1
   ) &gt; 0,
   1,
   0
)</f>
        <v>0</v>
      </c>
      <c r="J174">
        <f>YEAR(Data[[#This Row],[OrderDate]])</f>
        <v>2023</v>
      </c>
      <c r="K174" s="2">
        <f>MONTH(Data[[#This Row],[OrderDate]])</f>
        <v>4</v>
      </c>
      <c r="M174" s="12">
        <v>1499</v>
      </c>
      <c r="N174" s="21">
        <f>MAX(Data[OrderDate])-_xlfn.MAXIFS(Data[OrderDate],Data[CustomerID],M174)</f>
        <v>693</v>
      </c>
      <c r="O174" s="22">
        <f>COUNTIFS(Data[CustomerID], M174)</f>
        <v>1</v>
      </c>
      <c r="P174" s="23">
        <f>SUMIFS(Data[Amount], Data[CustomerID], M174)</f>
        <v>494.27</v>
      </c>
    </row>
    <row r="175" spans="1:16" x14ac:dyDescent="0.25">
      <c r="A175">
        <v>1797</v>
      </c>
      <c r="B175">
        <v>775</v>
      </c>
      <c r="C175" s="1">
        <v>45033</v>
      </c>
      <c r="D175">
        <v>95.59</v>
      </c>
      <c r="E175" t="s">
        <v>6</v>
      </c>
      <c r="F175" t="s">
        <v>14</v>
      </c>
      <c r="G175">
        <f>COUNTIF(Data[CustomerID], Data[[#This Row],[CustomerID]])</f>
        <v>4</v>
      </c>
      <c r="H175" s="1" t="str">
        <f>TEXT(Data[OrderDate],"yyyy-mmm")</f>
        <v>2023-Apr</v>
      </c>
      <c r="I175">
        <f>IF(
   COUNTIFS(
      Data[CustomerID], Data[[#This Row],[CustomerID]],
      Data[OrderDate], "&lt;" &amp; EOMONTH(Data[[#This Row],[OrderDate]], -1) + 1
   ) &gt; 0,
   1,
   0
)</f>
        <v>0</v>
      </c>
      <c r="J175">
        <f>YEAR(Data[[#This Row],[OrderDate]])</f>
        <v>2023</v>
      </c>
      <c r="K175" s="2">
        <f>MONTH(Data[[#This Row],[OrderDate]])</f>
        <v>4</v>
      </c>
      <c r="M175" s="12">
        <v>1125</v>
      </c>
      <c r="N175" s="21">
        <f>MAX(Data[OrderDate])-_xlfn.MAXIFS(Data[OrderDate],Data[CustomerID],M175)</f>
        <v>33</v>
      </c>
      <c r="O175" s="22">
        <f>COUNTIFS(Data[CustomerID], M175)</f>
        <v>1</v>
      </c>
      <c r="P175" s="23">
        <f>SUMIFS(Data[Amount], Data[CustomerID], M175)</f>
        <v>494.09</v>
      </c>
    </row>
    <row r="176" spans="1:16" x14ac:dyDescent="0.25">
      <c r="A176">
        <v>1075</v>
      </c>
      <c r="B176">
        <v>640</v>
      </c>
      <c r="C176" s="1">
        <v>45034</v>
      </c>
      <c r="D176">
        <v>264.45999999999998</v>
      </c>
      <c r="E176" t="s">
        <v>17</v>
      </c>
      <c r="F176" t="s">
        <v>12</v>
      </c>
      <c r="G176">
        <f>COUNTIF(Data[CustomerID], Data[[#This Row],[CustomerID]])</f>
        <v>2</v>
      </c>
      <c r="H176" s="1" t="str">
        <f>TEXT(Data[OrderDate],"yyyy-mmm")</f>
        <v>2023-Apr</v>
      </c>
      <c r="I176">
        <f>IF(
   COUNTIFS(
      Data[CustomerID], Data[[#This Row],[CustomerID]],
      Data[OrderDate], "&lt;" &amp; EOMONTH(Data[[#This Row],[OrderDate]], -1) + 1
   ) &gt; 0,
   1,
   0
)</f>
        <v>0</v>
      </c>
      <c r="J176">
        <f>YEAR(Data[[#This Row],[OrderDate]])</f>
        <v>2023</v>
      </c>
      <c r="K176" s="2">
        <f>MONTH(Data[[#This Row],[OrderDate]])</f>
        <v>4</v>
      </c>
      <c r="M176" s="12">
        <v>1121</v>
      </c>
      <c r="N176" s="21">
        <f>MAX(Data[OrderDate])-_xlfn.MAXIFS(Data[OrderDate],Data[CustomerID],M176)</f>
        <v>313</v>
      </c>
      <c r="O176" s="22">
        <f>COUNTIFS(Data[CustomerID], M176)</f>
        <v>2</v>
      </c>
      <c r="P176" s="23">
        <f>SUMIFS(Data[Amount], Data[CustomerID], M176)</f>
        <v>492.87</v>
      </c>
    </row>
    <row r="177" spans="1:16" x14ac:dyDescent="0.25">
      <c r="A177">
        <v>1042</v>
      </c>
      <c r="B177">
        <v>713</v>
      </c>
      <c r="C177" s="1">
        <v>45034</v>
      </c>
      <c r="D177">
        <v>465.16</v>
      </c>
      <c r="E177" t="s">
        <v>17</v>
      </c>
      <c r="F177" t="s">
        <v>14</v>
      </c>
      <c r="G177">
        <f>COUNTIF(Data[CustomerID], Data[[#This Row],[CustomerID]])</f>
        <v>1</v>
      </c>
      <c r="H177" s="1" t="str">
        <f>TEXT(Data[OrderDate],"yyyy-mmm")</f>
        <v>2023-Apr</v>
      </c>
      <c r="I177">
        <f>IF(
   COUNTIFS(
      Data[CustomerID], Data[[#This Row],[CustomerID]],
      Data[OrderDate], "&lt;" &amp; EOMONTH(Data[[#This Row],[OrderDate]], -1) + 1
   ) &gt; 0,
   1,
   0
)</f>
        <v>0</v>
      </c>
      <c r="J177">
        <f>YEAR(Data[[#This Row],[OrderDate]])</f>
        <v>2023</v>
      </c>
      <c r="K177" s="2">
        <f>MONTH(Data[[#This Row],[OrderDate]])</f>
        <v>4</v>
      </c>
      <c r="M177" s="12">
        <v>1435</v>
      </c>
      <c r="N177" s="21">
        <f>MAX(Data[OrderDate])-_xlfn.MAXIFS(Data[OrderDate],Data[CustomerID],M177)</f>
        <v>581</v>
      </c>
      <c r="O177" s="22">
        <f>COUNTIFS(Data[CustomerID], M177)</f>
        <v>1</v>
      </c>
      <c r="P177" s="23">
        <f>SUMIFS(Data[Amount], Data[CustomerID], M177)</f>
        <v>492.25</v>
      </c>
    </row>
    <row r="178" spans="1:16" x14ac:dyDescent="0.25">
      <c r="A178">
        <v>1502</v>
      </c>
      <c r="B178">
        <v>182</v>
      </c>
      <c r="C178" s="1">
        <v>45035</v>
      </c>
      <c r="D178">
        <v>82.3</v>
      </c>
      <c r="E178" t="s">
        <v>17</v>
      </c>
      <c r="F178" t="s">
        <v>7</v>
      </c>
      <c r="G178">
        <f>COUNTIF(Data[CustomerID], Data[[#This Row],[CustomerID]])</f>
        <v>2</v>
      </c>
      <c r="H178" s="1" t="str">
        <f>TEXT(Data[OrderDate],"yyyy-mmm")</f>
        <v>2023-Apr</v>
      </c>
      <c r="I178">
        <f>IF(
   COUNTIFS(
      Data[CustomerID], Data[[#This Row],[CustomerID]],
      Data[OrderDate], "&lt;" &amp; EOMONTH(Data[[#This Row],[OrderDate]], -1) + 1
   ) &gt; 0,
   1,
   0
)</f>
        <v>1</v>
      </c>
      <c r="J178">
        <f>YEAR(Data[[#This Row],[OrderDate]])</f>
        <v>2023</v>
      </c>
      <c r="K178" s="2">
        <f>MONTH(Data[[#This Row],[OrderDate]])</f>
        <v>4</v>
      </c>
      <c r="M178" s="12">
        <v>1897</v>
      </c>
      <c r="N178" s="21">
        <f>MAX(Data[OrderDate])-_xlfn.MAXIFS(Data[OrderDate],Data[CustomerID],M178)</f>
        <v>158</v>
      </c>
      <c r="O178" s="22">
        <f>COUNTIFS(Data[CustomerID], M178)</f>
        <v>2</v>
      </c>
      <c r="P178" s="23">
        <f>SUMIFS(Data[Amount], Data[CustomerID], M178)</f>
        <v>492.22</v>
      </c>
    </row>
    <row r="179" spans="1:16" x14ac:dyDescent="0.25">
      <c r="A179">
        <v>1149</v>
      </c>
      <c r="B179">
        <v>562</v>
      </c>
      <c r="C179" s="1">
        <v>45035</v>
      </c>
      <c r="D179">
        <v>134.05000000000001</v>
      </c>
      <c r="E179" t="s">
        <v>9</v>
      </c>
      <c r="F179" t="s">
        <v>12</v>
      </c>
      <c r="G179">
        <f>COUNTIF(Data[CustomerID], Data[[#This Row],[CustomerID]])</f>
        <v>1</v>
      </c>
      <c r="H179" s="1" t="str">
        <f>TEXT(Data[OrderDate],"yyyy-mmm")</f>
        <v>2023-Apr</v>
      </c>
      <c r="I179">
        <f>IF(
   COUNTIFS(
      Data[CustomerID], Data[[#This Row],[CustomerID]],
      Data[OrderDate], "&lt;" &amp; EOMONTH(Data[[#This Row],[OrderDate]], -1) + 1
   ) &gt; 0,
   1,
   0
)</f>
        <v>0</v>
      </c>
      <c r="J179">
        <f>YEAR(Data[[#This Row],[OrderDate]])</f>
        <v>2023</v>
      </c>
      <c r="K179" s="2">
        <f>MONTH(Data[[#This Row],[OrderDate]])</f>
        <v>4</v>
      </c>
      <c r="M179" s="12">
        <v>1348</v>
      </c>
      <c r="N179" s="21">
        <f>MAX(Data[OrderDate])-_xlfn.MAXIFS(Data[OrderDate],Data[CustomerID],M179)</f>
        <v>77</v>
      </c>
      <c r="O179" s="22">
        <f>COUNTIFS(Data[CustomerID], M179)</f>
        <v>2</v>
      </c>
      <c r="P179" s="23">
        <f>SUMIFS(Data[Amount], Data[CustomerID], M179)</f>
        <v>490.78999999999996</v>
      </c>
    </row>
    <row r="180" spans="1:16" x14ac:dyDescent="0.25">
      <c r="A180">
        <v>1001</v>
      </c>
      <c r="B180">
        <v>91</v>
      </c>
      <c r="C180" s="1">
        <v>45037</v>
      </c>
      <c r="D180">
        <v>296.08999999999997</v>
      </c>
      <c r="E180" t="s">
        <v>17</v>
      </c>
      <c r="F180" t="s">
        <v>10</v>
      </c>
      <c r="G180">
        <f>COUNTIF(Data[CustomerID], Data[[#This Row],[CustomerID]])</f>
        <v>3</v>
      </c>
      <c r="H180" s="1" t="str">
        <f>TEXT(Data[OrderDate],"yyyy-mmm")</f>
        <v>2023-Apr</v>
      </c>
      <c r="I180">
        <f>IF(
   COUNTIFS(
      Data[CustomerID], Data[[#This Row],[CustomerID]],
      Data[OrderDate], "&lt;" &amp; EOMONTH(Data[[#This Row],[OrderDate]], -1) + 1
   ) &gt; 0,
   1,
   0
)</f>
        <v>0</v>
      </c>
      <c r="J180">
        <f>YEAR(Data[[#This Row],[OrderDate]])</f>
        <v>2023</v>
      </c>
      <c r="K180" s="2">
        <f>MONTH(Data[[#This Row],[OrderDate]])</f>
        <v>4</v>
      </c>
      <c r="M180" s="12">
        <v>1651</v>
      </c>
      <c r="N180" s="21">
        <f>MAX(Data[OrderDate])-_xlfn.MAXIFS(Data[OrderDate],Data[CustomerID],M180)</f>
        <v>354</v>
      </c>
      <c r="O180" s="22">
        <f>COUNTIFS(Data[CustomerID], M180)</f>
        <v>1</v>
      </c>
      <c r="P180" s="23">
        <f>SUMIFS(Data[Amount], Data[CustomerID], M180)</f>
        <v>490.71</v>
      </c>
    </row>
    <row r="181" spans="1:16" x14ac:dyDescent="0.25">
      <c r="A181">
        <v>1397</v>
      </c>
      <c r="B181">
        <v>184</v>
      </c>
      <c r="C181" s="1">
        <v>45037</v>
      </c>
      <c r="D181">
        <v>481.86</v>
      </c>
      <c r="E181" t="s">
        <v>9</v>
      </c>
      <c r="F181" t="s">
        <v>12</v>
      </c>
      <c r="G181">
        <f>COUNTIF(Data[CustomerID], Data[[#This Row],[CustomerID]])</f>
        <v>3</v>
      </c>
      <c r="H181" s="1" t="str">
        <f>TEXT(Data[OrderDate],"yyyy-mmm")</f>
        <v>2023-Apr</v>
      </c>
      <c r="I181">
        <f>IF(
   COUNTIFS(
      Data[CustomerID], Data[[#This Row],[CustomerID]],
      Data[OrderDate], "&lt;" &amp; EOMONTH(Data[[#This Row],[OrderDate]], -1) + 1
   ) &gt; 0,
   1,
   0
)</f>
        <v>1</v>
      </c>
      <c r="J181">
        <f>YEAR(Data[[#This Row],[OrderDate]])</f>
        <v>2023</v>
      </c>
      <c r="K181" s="2">
        <f>MONTH(Data[[#This Row],[OrderDate]])</f>
        <v>4</v>
      </c>
      <c r="M181" s="12">
        <v>1131</v>
      </c>
      <c r="N181" s="21">
        <f>MAX(Data[OrderDate])-_xlfn.MAXIFS(Data[OrderDate],Data[CustomerID],M181)</f>
        <v>306</v>
      </c>
      <c r="O181" s="22">
        <f>COUNTIFS(Data[CustomerID], M181)</f>
        <v>1</v>
      </c>
      <c r="P181" s="23">
        <f>SUMIFS(Data[Amount], Data[CustomerID], M181)</f>
        <v>489.99</v>
      </c>
    </row>
    <row r="182" spans="1:16" x14ac:dyDescent="0.25">
      <c r="A182">
        <v>1794</v>
      </c>
      <c r="B182">
        <v>186</v>
      </c>
      <c r="C182" s="1">
        <v>45037</v>
      </c>
      <c r="D182">
        <v>332.51</v>
      </c>
      <c r="E182" t="s">
        <v>9</v>
      </c>
      <c r="F182" t="s">
        <v>19</v>
      </c>
      <c r="G182">
        <f>COUNTIF(Data[CustomerID], Data[[#This Row],[CustomerID]])</f>
        <v>2</v>
      </c>
      <c r="H182" s="1" t="str">
        <f>TEXT(Data[OrderDate],"yyyy-mmm")</f>
        <v>2023-Apr</v>
      </c>
      <c r="I182">
        <f>IF(
   COUNTIFS(
      Data[CustomerID], Data[[#This Row],[CustomerID]],
      Data[OrderDate], "&lt;" &amp; EOMONTH(Data[[#This Row],[OrderDate]], -1) + 1
   ) &gt; 0,
   1,
   0
)</f>
        <v>0</v>
      </c>
      <c r="J182">
        <f>YEAR(Data[[#This Row],[OrderDate]])</f>
        <v>2023</v>
      </c>
      <c r="K182" s="2">
        <f>MONTH(Data[[#This Row],[OrderDate]])</f>
        <v>4</v>
      </c>
      <c r="M182" s="12">
        <v>1068</v>
      </c>
      <c r="N182" s="21">
        <f>MAX(Data[OrderDate])-_xlfn.MAXIFS(Data[OrderDate],Data[CustomerID],M182)</f>
        <v>65</v>
      </c>
      <c r="O182" s="22">
        <f>COUNTIFS(Data[CustomerID], M182)</f>
        <v>2</v>
      </c>
      <c r="P182" s="23">
        <f>SUMIFS(Data[Amount], Data[CustomerID], M182)</f>
        <v>488.95</v>
      </c>
    </row>
    <row r="183" spans="1:16" x14ac:dyDescent="0.25">
      <c r="A183">
        <v>1972</v>
      </c>
      <c r="B183">
        <v>245</v>
      </c>
      <c r="C183" s="1">
        <v>45039</v>
      </c>
      <c r="D183">
        <v>265.68</v>
      </c>
      <c r="E183" t="s">
        <v>20</v>
      </c>
      <c r="F183" t="s">
        <v>18</v>
      </c>
      <c r="G183">
        <f>COUNTIF(Data[CustomerID], Data[[#This Row],[CustomerID]])</f>
        <v>2</v>
      </c>
      <c r="H183" s="1" t="str">
        <f>TEXT(Data[OrderDate],"yyyy-mmm")</f>
        <v>2023-Apr</v>
      </c>
      <c r="I183">
        <f>IF(
   COUNTIFS(
      Data[CustomerID], Data[[#This Row],[CustomerID]],
      Data[OrderDate], "&lt;" &amp; EOMONTH(Data[[#This Row],[OrderDate]], -1) + 1
   ) &gt; 0,
   1,
   0
)</f>
        <v>0</v>
      </c>
      <c r="J183">
        <f>YEAR(Data[[#This Row],[OrderDate]])</f>
        <v>2023</v>
      </c>
      <c r="K183" s="2">
        <f>MONTH(Data[[#This Row],[OrderDate]])</f>
        <v>4</v>
      </c>
      <c r="M183" s="12">
        <v>1040</v>
      </c>
      <c r="N183" s="21">
        <f>MAX(Data[OrderDate])-_xlfn.MAXIFS(Data[OrderDate],Data[CustomerID],M183)</f>
        <v>1</v>
      </c>
      <c r="O183" s="22">
        <f>COUNTIFS(Data[CustomerID], M183)</f>
        <v>3</v>
      </c>
      <c r="P183" s="23">
        <f>SUMIFS(Data[Amount], Data[CustomerID], M183)</f>
        <v>488.44000000000005</v>
      </c>
    </row>
    <row r="184" spans="1:16" x14ac:dyDescent="0.25">
      <c r="A184">
        <v>1098</v>
      </c>
      <c r="B184">
        <v>473</v>
      </c>
      <c r="C184" s="1">
        <v>45039</v>
      </c>
      <c r="D184">
        <v>363.54</v>
      </c>
      <c r="E184" t="s">
        <v>11</v>
      </c>
      <c r="F184" t="s">
        <v>12</v>
      </c>
      <c r="G184">
        <f>COUNTIF(Data[CustomerID], Data[[#This Row],[CustomerID]])</f>
        <v>7</v>
      </c>
      <c r="H184" s="1" t="str">
        <f>TEXT(Data[OrderDate],"yyyy-mmm")</f>
        <v>2023-Apr</v>
      </c>
      <c r="I184">
        <f>IF(
   COUNTIFS(
      Data[CustomerID], Data[[#This Row],[CustomerID]],
      Data[OrderDate], "&lt;" &amp; EOMONTH(Data[[#This Row],[OrderDate]], -1) + 1
   ) &gt; 0,
   1,
   0
)</f>
        <v>1</v>
      </c>
      <c r="J184">
        <f>YEAR(Data[[#This Row],[OrderDate]])</f>
        <v>2023</v>
      </c>
      <c r="K184" s="2">
        <f>MONTH(Data[[#This Row],[OrderDate]])</f>
        <v>4</v>
      </c>
      <c r="M184" s="12">
        <v>1412</v>
      </c>
      <c r="N184" s="21">
        <f>MAX(Data[OrderDate])-_xlfn.MAXIFS(Data[OrderDate],Data[CustomerID],M184)</f>
        <v>324</v>
      </c>
      <c r="O184" s="22">
        <f>COUNTIFS(Data[CustomerID], M184)</f>
        <v>1</v>
      </c>
      <c r="P184" s="23">
        <f>SUMIFS(Data[Amount], Data[CustomerID], M184)</f>
        <v>487.54</v>
      </c>
    </row>
    <row r="185" spans="1:16" x14ac:dyDescent="0.25">
      <c r="A185">
        <v>1603</v>
      </c>
      <c r="B185">
        <v>603</v>
      </c>
      <c r="C185" s="1">
        <v>45039</v>
      </c>
      <c r="D185">
        <v>377.83</v>
      </c>
      <c r="E185" t="s">
        <v>8</v>
      </c>
      <c r="F185" t="s">
        <v>10</v>
      </c>
      <c r="G185">
        <f>COUNTIF(Data[CustomerID], Data[[#This Row],[CustomerID]])</f>
        <v>1</v>
      </c>
      <c r="H185" s="1" t="str">
        <f>TEXT(Data[OrderDate],"yyyy-mmm")</f>
        <v>2023-Apr</v>
      </c>
      <c r="I185">
        <f>IF(
   COUNTIFS(
      Data[CustomerID], Data[[#This Row],[CustomerID]],
      Data[OrderDate], "&lt;" &amp; EOMONTH(Data[[#This Row],[OrderDate]], -1) + 1
   ) &gt; 0,
   1,
   0
)</f>
        <v>0</v>
      </c>
      <c r="J185">
        <f>YEAR(Data[[#This Row],[OrderDate]])</f>
        <v>2023</v>
      </c>
      <c r="K185" s="2">
        <f>MONTH(Data[[#This Row],[OrderDate]])</f>
        <v>4</v>
      </c>
      <c r="M185" s="12">
        <v>1700</v>
      </c>
      <c r="N185" s="21">
        <f>MAX(Data[OrderDate])-_xlfn.MAXIFS(Data[OrderDate],Data[CustomerID],M185)</f>
        <v>461</v>
      </c>
      <c r="O185" s="22">
        <f>COUNTIFS(Data[CustomerID], M185)</f>
        <v>1</v>
      </c>
      <c r="P185" s="23">
        <f>SUMIFS(Data[Amount], Data[CustomerID], M185)</f>
        <v>487.48</v>
      </c>
    </row>
    <row r="186" spans="1:16" x14ac:dyDescent="0.25">
      <c r="A186">
        <v>1450</v>
      </c>
      <c r="B186">
        <v>884</v>
      </c>
      <c r="C186" s="1">
        <v>45039</v>
      </c>
      <c r="D186">
        <v>451.14</v>
      </c>
      <c r="E186" t="s">
        <v>11</v>
      </c>
      <c r="F186" t="s">
        <v>16</v>
      </c>
      <c r="G186">
        <f>COUNTIF(Data[CustomerID], Data[[#This Row],[CustomerID]])</f>
        <v>1</v>
      </c>
      <c r="H186" s="1" t="str">
        <f>TEXT(Data[OrderDate],"yyyy-mmm")</f>
        <v>2023-Apr</v>
      </c>
      <c r="I186">
        <f>IF(
   COUNTIFS(
      Data[CustomerID], Data[[#This Row],[CustomerID]],
      Data[OrderDate], "&lt;" &amp; EOMONTH(Data[[#This Row],[OrderDate]], -1) + 1
   ) &gt; 0,
   1,
   0
)</f>
        <v>0</v>
      </c>
      <c r="J186">
        <f>YEAR(Data[[#This Row],[OrderDate]])</f>
        <v>2023</v>
      </c>
      <c r="K186" s="2">
        <f>MONTH(Data[[#This Row],[OrderDate]])</f>
        <v>4</v>
      </c>
      <c r="M186" s="12">
        <v>1758</v>
      </c>
      <c r="N186" s="21">
        <f>MAX(Data[OrderDate])-_xlfn.MAXIFS(Data[OrderDate],Data[CustomerID],M186)</f>
        <v>186</v>
      </c>
      <c r="O186" s="22">
        <f>COUNTIFS(Data[CustomerID], M186)</f>
        <v>2</v>
      </c>
      <c r="P186" s="23">
        <f>SUMIFS(Data[Amount], Data[CustomerID], M186)</f>
        <v>486.42999999999995</v>
      </c>
    </row>
    <row r="187" spans="1:16" x14ac:dyDescent="0.25">
      <c r="A187">
        <v>1891</v>
      </c>
      <c r="B187">
        <v>474</v>
      </c>
      <c r="C187" s="1">
        <v>45040</v>
      </c>
      <c r="D187">
        <v>397.09</v>
      </c>
      <c r="E187" t="s">
        <v>13</v>
      </c>
      <c r="F187" t="s">
        <v>14</v>
      </c>
      <c r="G187">
        <f>COUNTIF(Data[CustomerID], Data[[#This Row],[CustomerID]])</f>
        <v>2</v>
      </c>
      <c r="H187" s="1" t="str">
        <f>TEXT(Data[OrderDate],"yyyy-mmm")</f>
        <v>2023-Apr</v>
      </c>
      <c r="I187">
        <f>IF(
   COUNTIFS(
      Data[CustomerID], Data[[#This Row],[CustomerID]],
      Data[OrderDate], "&lt;" &amp; EOMONTH(Data[[#This Row],[OrderDate]], -1) + 1
   ) &gt; 0,
   1,
   0
)</f>
        <v>0</v>
      </c>
      <c r="J187">
        <f>YEAR(Data[[#This Row],[OrderDate]])</f>
        <v>2023</v>
      </c>
      <c r="K187" s="2">
        <f>MONTH(Data[[#This Row],[OrderDate]])</f>
        <v>4</v>
      </c>
      <c r="M187" s="12">
        <v>1972</v>
      </c>
      <c r="N187" s="21">
        <f>MAX(Data[OrderDate])-_xlfn.MAXIFS(Data[OrderDate],Data[CustomerID],M187)</f>
        <v>288</v>
      </c>
      <c r="O187" s="22">
        <f>COUNTIFS(Data[CustomerID], M187)</f>
        <v>2</v>
      </c>
      <c r="P187" s="23">
        <f>SUMIFS(Data[Amount], Data[CustomerID], M187)</f>
        <v>486.26</v>
      </c>
    </row>
    <row r="188" spans="1:16" x14ac:dyDescent="0.25">
      <c r="A188">
        <v>1732</v>
      </c>
      <c r="B188">
        <v>829</v>
      </c>
      <c r="C188" s="1">
        <v>45040</v>
      </c>
      <c r="D188">
        <v>51.24</v>
      </c>
      <c r="E188" t="s">
        <v>6</v>
      </c>
      <c r="F188" t="s">
        <v>7</v>
      </c>
      <c r="G188">
        <f>COUNTIF(Data[CustomerID], Data[[#This Row],[CustomerID]])</f>
        <v>1</v>
      </c>
      <c r="H188" s="1" t="str">
        <f>TEXT(Data[OrderDate],"yyyy-mmm")</f>
        <v>2023-Apr</v>
      </c>
      <c r="I188">
        <f>IF(
   COUNTIFS(
      Data[CustomerID], Data[[#This Row],[CustomerID]],
      Data[OrderDate], "&lt;" &amp; EOMONTH(Data[[#This Row],[OrderDate]], -1) + 1
   ) &gt; 0,
   1,
   0
)</f>
        <v>0</v>
      </c>
      <c r="J188">
        <f>YEAR(Data[[#This Row],[OrderDate]])</f>
        <v>2023</v>
      </c>
      <c r="K188" s="2">
        <f>MONTH(Data[[#This Row],[OrderDate]])</f>
        <v>4</v>
      </c>
      <c r="M188" s="12">
        <v>1653</v>
      </c>
      <c r="N188" s="21">
        <f>MAX(Data[OrderDate])-_xlfn.MAXIFS(Data[OrderDate],Data[CustomerID],M188)</f>
        <v>641</v>
      </c>
      <c r="O188" s="22">
        <f>COUNTIFS(Data[CustomerID], M188)</f>
        <v>1</v>
      </c>
      <c r="P188" s="23">
        <f>SUMIFS(Data[Amount], Data[CustomerID], M188)</f>
        <v>485.52</v>
      </c>
    </row>
    <row r="189" spans="1:16" x14ac:dyDescent="0.25">
      <c r="A189">
        <v>1882</v>
      </c>
      <c r="B189">
        <v>546</v>
      </c>
      <c r="C189" s="1">
        <v>45041</v>
      </c>
      <c r="D189">
        <v>393</v>
      </c>
      <c r="E189" t="s">
        <v>17</v>
      </c>
      <c r="F189" t="s">
        <v>14</v>
      </c>
      <c r="G189">
        <f>COUNTIF(Data[CustomerID], Data[[#This Row],[CustomerID]])</f>
        <v>3</v>
      </c>
      <c r="H189" s="1" t="str">
        <f>TEXT(Data[OrderDate],"yyyy-mmm")</f>
        <v>2023-Apr</v>
      </c>
      <c r="I189">
        <f>IF(
   COUNTIFS(
      Data[CustomerID], Data[[#This Row],[CustomerID]],
      Data[OrderDate], "&lt;" &amp; EOMONTH(Data[[#This Row],[OrderDate]], -1) + 1
   ) &gt; 0,
   1,
   0
)</f>
        <v>0</v>
      </c>
      <c r="J189">
        <f>YEAR(Data[[#This Row],[OrderDate]])</f>
        <v>2023</v>
      </c>
      <c r="K189" s="2">
        <f>MONTH(Data[[#This Row],[OrderDate]])</f>
        <v>4</v>
      </c>
      <c r="M189" s="12">
        <v>1753</v>
      </c>
      <c r="N189" s="21">
        <f>MAX(Data[OrderDate])-_xlfn.MAXIFS(Data[OrderDate],Data[CustomerID],M189)</f>
        <v>92</v>
      </c>
      <c r="O189" s="22">
        <f>COUNTIFS(Data[CustomerID], M189)</f>
        <v>2</v>
      </c>
      <c r="P189" s="23">
        <f>SUMIFS(Data[Amount], Data[CustomerID], M189)</f>
        <v>485.37</v>
      </c>
    </row>
    <row r="190" spans="1:16" x14ac:dyDescent="0.25">
      <c r="A190">
        <v>1008</v>
      </c>
      <c r="B190">
        <v>835</v>
      </c>
      <c r="C190" s="1">
        <v>45041</v>
      </c>
      <c r="D190">
        <v>379.95</v>
      </c>
      <c r="E190" t="s">
        <v>13</v>
      </c>
      <c r="F190" t="s">
        <v>14</v>
      </c>
      <c r="G190">
        <f>COUNTIF(Data[CustomerID], Data[[#This Row],[CustomerID]])</f>
        <v>2</v>
      </c>
      <c r="H190" s="1" t="str">
        <f>TEXT(Data[OrderDate],"yyyy-mmm")</f>
        <v>2023-Apr</v>
      </c>
      <c r="I190">
        <f>IF(
   COUNTIFS(
      Data[CustomerID], Data[[#This Row],[CustomerID]],
      Data[OrderDate], "&lt;" &amp; EOMONTH(Data[[#This Row],[OrderDate]], -1) + 1
   ) &gt; 0,
   1,
   0
)</f>
        <v>0</v>
      </c>
      <c r="J190">
        <f>YEAR(Data[[#This Row],[OrderDate]])</f>
        <v>2023</v>
      </c>
      <c r="K190" s="2">
        <f>MONTH(Data[[#This Row],[OrderDate]])</f>
        <v>4</v>
      </c>
      <c r="M190" s="12">
        <v>1872</v>
      </c>
      <c r="N190" s="21">
        <f>MAX(Data[OrderDate])-_xlfn.MAXIFS(Data[OrderDate],Data[CustomerID],M190)</f>
        <v>370</v>
      </c>
      <c r="O190" s="22">
        <f>COUNTIFS(Data[CustomerID], M190)</f>
        <v>1</v>
      </c>
      <c r="P190" s="23">
        <f>SUMIFS(Data[Amount], Data[CustomerID], M190)</f>
        <v>483.84</v>
      </c>
    </row>
    <row r="191" spans="1:16" x14ac:dyDescent="0.25">
      <c r="A191">
        <v>1956</v>
      </c>
      <c r="B191">
        <v>413</v>
      </c>
      <c r="C191" s="1">
        <v>45043</v>
      </c>
      <c r="D191">
        <v>74.930000000000007</v>
      </c>
      <c r="E191" t="s">
        <v>11</v>
      </c>
      <c r="F191" t="s">
        <v>7</v>
      </c>
      <c r="G191">
        <f>COUNTIF(Data[CustomerID], Data[[#This Row],[CustomerID]])</f>
        <v>2</v>
      </c>
      <c r="H191" s="1" t="str">
        <f>TEXT(Data[OrderDate],"yyyy-mmm")</f>
        <v>2023-Apr</v>
      </c>
      <c r="I191">
        <f>IF(
   COUNTIFS(
      Data[CustomerID], Data[[#This Row],[CustomerID]],
      Data[OrderDate], "&lt;" &amp; EOMONTH(Data[[#This Row],[OrderDate]], -1) + 1
   ) &gt; 0,
   1,
   0
)</f>
        <v>1</v>
      </c>
      <c r="J191">
        <f>YEAR(Data[[#This Row],[OrderDate]])</f>
        <v>2023</v>
      </c>
      <c r="K191" s="2">
        <f>MONTH(Data[[#This Row],[OrderDate]])</f>
        <v>4</v>
      </c>
      <c r="M191" s="12">
        <v>1091</v>
      </c>
      <c r="N191" s="21">
        <f>MAX(Data[OrderDate])-_xlfn.MAXIFS(Data[OrderDate],Data[CustomerID],M191)</f>
        <v>137</v>
      </c>
      <c r="O191" s="22">
        <f>COUNTIFS(Data[CustomerID], M191)</f>
        <v>2</v>
      </c>
      <c r="P191" s="23">
        <f>SUMIFS(Data[Amount], Data[CustomerID], M191)</f>
        <v>481.67</v>
      </c>
    </row>
    <row r="192" spans="1:16" x14ac:dyDescent="0.25">
      <c r="A192">
        <v>1797</v>
      </c>
      <c r="B192">
        <v>998</v>
      </c>
      <c r="C192" s="1">
        <v>45043</v>
      </c>
      <c r="D192">
        <v>455.78</v>
      </c>
      <c r="E192" t="s">
        <v>17</v>
      </c>
      <c r="F192" t="s">
        <v>10</v>
      </c>
      <c r="G192">
        <f>COUNTIF(Data[CustomerID], Data[[#This Row],[CustomerID]])</f>
        <v>4</v>
      </c>
      <c r="H192" s="1" t="str">
        <f>TEXT(Data[OrderDate],"yyyy-mmm")</f>
        <v>2023-Apr</v>
      </c>
      <c r="I192">
        <f>IF(
   COUNTIFS(
      Data[CustomerID], Data[[#This Row],[CustomerID]],
      Data[OrderDate], "&lt;" &amp; EOMONTH(Data[[#This Row],[OrderDate]], -1) + 1
   ) &gt; 0,
   1,
   0
)</f>
        <v>0</v>
      </c>
      <c r="J192">
        <f>YEAR(Data[[#This Row],[OrderDate]])</f>
        <v>2023</v>
      </c>
      <c r="K192" s="2">
        <f>MONTH(Data[[#This Row],[OrderDate]])</f>
        <v>4</v>
      </c>
      <c r="M192" s="12">
        <v>1496</v>
      </c>
      <c r="N192" s="21">
        <f>MAX(Data[OrderDate])-_xlfn.MAXIFS(Data[OrderDate],Data[CustomerID],M192)</f>
        <v>150</v>
      </c>
      <c r="O192" s="22">
        <f>COUNTIFS(Data[CustomerID], M192)</f>
        <v>3</v>
      </c>
      <c r="P192" s="23">
        <f>SUMIFS(Data[Amount], Data[CustomerID], M192)</f>
        <v>481.63</v>
      </c>
    </row>
    <row r="193" spans="1:16" x14ac:dyDescent="0.25">
      <c r="A193">
        <v>1189</v>
      </c>
      <c r="B193">
        <v>48</v>
      </c>
      <c r="C193" s="1">
        <v>45044</v>
      </c>
      <c r="D193">
        <v>308.07</v>
      </c>
      <c r="E193" t="s">
        <v>9</v>
      </c>
      <c r="F193" t="s">
        <v>7</v>
      </c>
      <c r="G193">
        <f>COUNTIF(Data[CustomerID], Data[[#This Row],[CustomerID]])</f>
        <v>5</v>
      </c>
      <c r="H193" s="1" t="str">
        <f>TEXT(Data[OrderDate],"yyyy-mmm")</f>
        <v>2023-Apr</v>
      </c>
      <c r="I193">
        <f>IF(
   COUNTIFS(
      Data[CustomerID], Data[[#This Row],[CustomerID]],
      Data[OrderDate], "&lt;" &amp; EOMONTH(Data[[#This Row],[OrderDate]], -1) + 1
   ) &gt; 0,
   1,
   0
)</f>
        <v>0</v>
      </c>
      <c r="J193">
        <f>YEAR(Data[[#This Row],[OrderDate]])</f>
        <v>2023</v>
      </c>
      <c r="K193" s="2">
        <f>MONTH(Data[[#This Row],[OrderDate]])</f>
        <v>4</v>
      </c>
      <c r="M193" s="12">
        <v>1191</v>
      </c>
      <c r="N193" s="21">
        <f>MAX(Data[OrderDate])-_xlfn.MAXIFS(Data[OrderDate],Data[CustomerID],M193)</f>
        <v>223</v>
      </c>
      <c r="O193" s="22">
        <f>COUNTIFS(Data[CustomerID], M193)</f>
        <v>3</v>
      </c>
      <c r="P193" s="23">
        <f>SUMIFS(Data[Amount], Data[CustomerID], M193)</f>
        <v>479.5</v>
      </c>
    </row>
    <row r="194" spans="1:16" x14ac:dyDescent="0.25">
      <c r="A194">
        <v>1339</v>
      </c>
      <c r="B194">
        <v>228</v>
      </c>
      <c r="C194" s="1">
        <v>45044</v>
      </c>
      <c r="D194">
        <v>276.51</v>
      </c>
      <c r="E194" t="s">
        <v>20</v>
      </c>
      <c r="F194" t="s">
        <v>18</v>
      </c>
      <c r="G194">
        <f>COUNTIF(Data[CustomerID], Data[[#This Row],[CustomerID]])</f>
        <v>2</v>
      </c>
      <c r="H194" s="1" t="str">
        <f>TEXT(Data[OrderDate],"yyyy-mmm")</f>
        <v>2023-Apr</v>
      </c>
      <c r="I194">
        <f>IF(
   COUNTIFS(
      Data[CustomerID], Data[[#This Row],[CustomerID]],
      Data[OrderDate], "&lt;" &amp; EOMONTH(Data[[#This Row],[OrderDate]], -1) + 1
   ) &gt; 0,
   1,
   0
)</f>
        <v>0</v>
      </c>
      <c r="J194">
        <f>YEAR(Data[[#This Row],[OrderDate]])</f>
        <v>2023</v>
      </c>
      <c r="K194" s="2">
        <f>MONTH(Data[[#This Row],[OrderDate]])</f>
        <v>4</v>
      </c>
      <c r="M194" s="12">
        <v>1638</v>
      </c>
      <c r="N194" s="21">
        <f>MAX(Data[OrderDate])-_xlfn.MAXIFS(Data[OrderDate],Data[CustomerID],M194)</f>
        <v>535</v>
      </c>
      <c r="O194" s="22">
        <f>COUNTIFS(Data[CustomerID], M194)</f>
        <v>1</v>
      </c>
      <c r="P194" s="23">
        <f>SUMIFS(Data[Amount], Data[CustomerID], M194)</f>
        <v>478.33</v>
      </c>
    </row>
    <row r="195" spans="1:16" x14ac:dyDescent="0.25">
      <c r="A195">
        <v>1957</v>
      </c>
      <c r="B195">
        <v>242</v>
      </c>
      <c r="C195" s="1">
        <v>45044</v>
      </c>
      <c r="D195">
        <v>407.81</v>
      </c>
      <c r="E195" t="s">
        <v>20</v>
      </c>
      <c r="F195" t="s">
        <v>18</v>
      </c>
      <c r="G195">
        <f>COUNTIF(Data[CustomerID], Data[[#This Row],[CustomerID]])</f>
        <v>6</v>
      </c>
      <c r="H195" s="1" t="str">
        <f>TEXT(Data[OrderDate],"yyyy-mmm")</f>
        <v>2023-Apr</v>
      </c>
      <c r="I195">
        <f>IF(
   COUNTIFS(
      Data[CustomerID], Data[[#This Row],[CustomerID]],
      Data[OrderDate], "&lt;" &amp; EOMONTH(Data[[#This Row],[OrderDate]], -1) + 1
   ) &gt; 0,
   1,
   0
)</f>
        <v>1</v>
      </c>
      <c r="J195">
        <f>YEAR(Data[[#This Row],[OrderDate]])</f>
        <v>2023</v>
      </c>
      <c r="K195" s="2">
        <f>MONTH(Data[[#This Row],[OrderDate]])</f>
        <v>4</v>
      </c>
      <c r="M195" s="12">
        <v>1233</v>
      </c>
      <c r="N195" s="21">
        <f>MAX(Data[OrderDate])-_xlfn.MAXIFS(Data[OrderDate],Data[CustomerID],M195)</f>
        <v>10</v>
      </c>
      <c r="O195" s="22">
        <f>COUNTIFS(Data[CustomerID], M195)</f>
        <v>1</v>
      </c>
      <c r="P195" s="23">
        <f>SUMIFS(Data[Amount], Data[CustomerID], M195)</f>
        <v>477.56</v>
      </c>
    </row>
    <row r="196" spans="1:16" x14ac:dyDescent="0.25">
      <c r="A196">
        <v>1639</v>
      </c>
      <c r="B196">
        <v>346</v>
      </c>
      <c r="C196" s="1">
        <v>45044</v>
      </c>
      <c r="D196">
        <v>336.45</v>
      </c>
      <c r="E196" t="s">
        <v>20</v>
      </c>
      <c r="F196" t="s">
        <v>14</v>
      </c>
      <c r="G196">
        <f>COUNTIF(Data[CustomerID], Data[[#This Row],[CustomerID]])</f>
        <v>3</v>
      </c>
      <c r="H196" s="1" t="str">
        <f>TEXT(Data[OrderDate],"yyyy-mmm")</f>
        <v>2023-Apr</v>
      </c>
      <c r="I196">
        <f>IF(
   COUNTIFS(
      Data[CustomerID], Data[[#This Row],[CustomerID]],
      Data[OrderDate], "&lt;" &amp; EOMONTH(Data[[#This Row],[OrderDate]], -1) + 1
   ) &gt; 0,
   1,
   0
)</f>
        <v>0</v>
      </c>
      <c r="J196">
        <f>YEAR(Data[[#This Row],[OrderDate]])</f>
        <v>2023</v>
      </c>
      <c r="K196" s="2">
        <f>MONTH(Data[[#This Row],[OrderDate]])</f>
        <v>4</v>
      </c>
      <c r="M196" s="12">
        <v>1687</v>
      </c>
      <c r="N196" s="21">
        <f>MAX(Data[OrderDate])-_xlfn.MAXIFS(Data[OrderDate],Data[CustomerID],M196)</f>
        <v>520</v>
      </c>
      <c r="O196" s="22">
        <f>COUNTIFS(Data[CustomerID], M196)</f>
        <v>1</v>
      </c>
      <c r="P196" s="23">
        <f>SUMIFS(Data[Amount], Data[CustomerID], M196)</f>
        <v>476.63</v>
      </c>
    </row>
    <row r="197" spans="1:16" x14ac:dyDescent="0.25">
      <c r="A197">
        <v>1435</v>
      </c>
      <c r="B197">
        <v>2</v>
      </c>
      <c r="C197" s="1">
        <v>45045</v>
      </c>
      <c r="D197">
        <v>492.25</v>
      </c>
      <c r="E197" t="s">
        <v>8</v>
      </c>
      <c r="F197" t="s">
        <v>7</v>
      </c>
      <c r="G197">
        <f>COUNTIF(Data[CustomerID], Data[[#This Row],[CustomerID]])</f>
        <v>1</v>
      </c>
      <c r="H197" s="1" t="str">
        <f>TEXT(Data[OrderDate],"yyyy-mmm")</f>
        <v>2023-Apr</v>
      </c>
      <c r="I197">
        <f>IF(
   COUNTIFS(
      Data[CustomerID], Data[[#This Row],[CustomerID]],
      Data[OrderDate], "&lt;" &amp; EOMONTH(Data[[#This Row],[OrderDate]], -1) + 1
   ) &gt; 0,
   1,
   0
)</f>
        <v>0</v>
      </c>
      <c r="J197">
        <f>YEAR(Data[[#This Row],[OrderDate]])</f>
        <v>2023</v>
      </c>
      <c r="K197" s="2">
        <f>MONTH(Data[[#This Row],[OrderDate]])</f>
        <v>4</v>
      </c>
      <c r="M197" s="12">
        <v>1466</v>
      </c>
      <c r="N197" s="21">
        <f>MAX(Data[OrderDate])-_xlfn.MAXIFS(Data[OrderDate],Data[CustomerID],M197)</f>
        <v>483</v>
      </c>
      <c r="O197" s="22">
        <f>COUNTIFS(Data[CustomerID], M197)</f>
        <v>1</v>
      </c>
      <c r="P197" s="23">
        <f>SUMIFS(Data[Amount], Data[CustomerID], M197)</f>
        <v>476.56</v>
      </c>
    </row>
    <row r="198" spans="1:16" x14ac:dyDescent="0.25">
      <c r="A198">
        <v>1920</v>
      </c>
      <c r="B198">
        <v>530</v>
      </c>
      <c r="C198" s="1">
        <v>45045</v>
      </c>
      <c r="D198">
        <v>57.32</v>
      </c>
      <c r="E198" t="s">
        <v>15</v>
      </c>
      <c r="F198" t="s">
        <v>12</v>
      </c>
      <c r="G198">
        <f>COUNTIF(Data[CustomerID], Data[[#This Row],[CustomerID]])</f>
        <v>2</v>
      </c>
      <c r="H198" s="1" t="str">
        <f>TEXT(Data[OrderDate],"yyyy-mmm")</f>
        <v>2023-Apr</v>
      </c>
      <c r="I198">
        <f>IF(
   COUNTIFS(
      Data[CustomerID], Data[[#This Row],[CustomerID]],
      Data[OrderDate], "&lt;" &amp; EOMONTH(Data[[#This Row],[OrderDate]], -1) + 1
   ) &gt; 0,
   1,
   0
)</f>
        <v>0</v>
      </c>
      <c r="J198">
        <f>YEAR(Data[[#This Row],[OrderDate]])</f>
        <v>2023</v>
      </c>
      <c r="K198" s="2">
        <f>MONTH(Data[[#This Row],[OrderDate]])</f>
        <v>4</v>
      </c>
      <c r="M198" s="12">
        <v>1747</v>
      </c>
      <c r="N198" s="21">
        <f>MAX(Data[OrderDate])-_xlfn.MAXIFS(Data[OrderDate],Data[CustomerID],M198)</f>
        <v>251</v>
      </c>
      <c r="O198" s="22">
        <f>COUNTIFS(Data[CustomerID], M198)</f>
        <v>1</v>
      </c>
      <c r="P198" s="23">
        <f>SUMIFS(Data[Amount], Data[CustomerID], M198)</f>
        <v>476.02</v>
      </c>
    </row>
    <row r="199" spans="1:16" x14ac:dyDescent="0.25">
      <c r="A199">
        <v>1942</v>
      </c>
      <c r="B199">
        <v>507</v>
      </c>
      <c r="C199" s="1">
        <v>45046</v>
      </c>
      <c r="D199">
        <v>406.29</v>
      </c>
      <c r="E199" t="s">
        <v>11</v>
      </c>
      <c r="F199" t="s">
        <v>16</v>
      </c>
      <c r="G199">
        <f>COUNTIF(Data[CustomerID], Data[[#This Row],[CustomerID]])</f>
        <v>3</v>
      </c>
      <c r="H199" s="1" t="str">
        <f>TEXT(Data[OrderDate],"yyyy-mmm")</f>
        <v>2023-Apr</v>
      </c>
      <c r="I199">
        <f>IF(
   COUNTIFS(
      Data[CustomerID], Data[[#This Row],[CustomerID]],
      Data[OrderDate], "&lt;" &amp; EOMONTH(Data[[#This Row],[OrderDate]], -1) + 1
   ) &gt; 0,
   1,
   0
)</f>
        <v>0</v>
      </c>
      <c r="J199">
        <f>YEAR(Data[[#This Row],[OrderDate]])</f>
        <v>2023</v>
      </c>
      <c r="K199" s="2">
        <f>MONTH(Data[[#This Row],[OrderDate]])</f>
        <v>4</v>
      </c>
      <c r="M199" s="12">
        <v>1128</v>
      </c>
      <c r="N199" s="21">
        <f>MAX(Data[OrderDate])-_xlfn.MAXIFS(Data[OrderDate],Data[CustomerID],M199)</f>
        <v>75</v>
      </c>
      <c r="O199" s="22">
        <f>COUNTIFS(Data[CustomerID], M199)</f>
        <v>1</v>
      </c>
      <c r="P199" s="23">
        <f>SUMIFS(Data[Amount], Data[CustomerID], M199)</f>
        <v>474.55</v>
      </c>
    </row>
    <row r="200" spans="1:16" x14ac:dyDescent="0.25">
      <c r="A200">
        <v>1717</v>
      </c>
      <c r="B200">
        <v>796</v>
      </c>
      <c r="C200" s="1">
        <v>45046</v>
      </c>
      <c r="D200">
        <v>431.68</v>
      </c>
      <c r="E200" t="s">
        <v>17</v>
      </c>
      <c r="F200" t="s">
        <v>18</v>
      </c>
      <c r="G200">
        <f>COUNTIF(Data[CustomerID], Data[[#This Row],[CustomerID]])</f>
        <v>1</v>
      </c>
      <c r="H200" s="1" t="str">
        <f>TEXT(Data[OrderDate],"yyyy-mmm")</f>
        <v>2023-Apr</v>
      </c>
      <c r="I200">
        <f>IF(
   COUNTIFS(
      Data[CustomerID], Data[[#This Row],[CustomerID]],
      Data[OrderDate], "&lt;" &amp; EOMONTH(Data[[#This Row],[OrderDate]], -1) + 1
   ) &gt; 0,
   1,
   0
)</f>
        <v>0</v>
      </c>
      <c r="J200">
        <f>YEAR(Data[[#This Row],[OrderDate]])</f>
        <v>2023</v>
      </c>
      <c r="K200" s="2">
        <f>MONTH(Data[[#This Row],[OrderDate]])</f>
        <v>4</v>
      </c>
      <c r="M200" s="12">
        <v>1568</v>
      </c>
      <c r="N200" s="21">
        <f>MAX(Data[OrderDate])-_xlfn.MAXIFS(Data[OrderDate],Data[CustomerID],M200)</f>
        <v>305</v>
      </c>
      <c r="O200" s="22">
        <f>COUNTIFS(Data[CustomerID], M200)</f>
        <v>1</v>
      </c>
      <c r="P200" s="23">
        <f>SUMIFS(Data[Amount], Data[CustomerID], M200)</f>
        <v>473.59</v>
      </c>
    </row>
    <row r="201" spans="1:16" x14ac:dyDescent="0.25">
      <c r="A201">
        <v>1671</v>
      </c>
      <c r="B201">
        <v>916</v>
      </c>
      <c r="C201" s="1">
        <v>45046</v>
      </c>
      <c r="D201">
        <v>43.15</v>
      </c>
      <c r="E201" t="s">
        <v>17</v>
      </c>
      <c r="F201" t="s">
        <v>10</v>
      </c>
      <c r="G201">
        <f>COUNTIF(Data[CustomerID], Data[[#This Row],[CustomerID]])</f>
        <v>3</v>
      </c>
      <c r="H201" s="1" t="str">
        <f>TEXT(Data[OrderDate],"yyyy-mmm")</f>
        <v>2023-Apr</v>
      </c>
      <c r="I201">
        <f>IF(
   COUNTIFS(
      Data[CustomerID], Data[[#This Row],[CustomerID]],
      Data[OrderDate], "&lt;" &amp; EOMONTH(Data[[#This Row],[OrderDate]], -1) + 1
   ) &gt; 0,
   1,
   0
)</f>
        <v>1</v>
      </c>
      <c r="J201">
        <f>YEAR(Data[[#This Row],[OrderDate]])</f>
        <v>2023</v>
      </c>
      <c r="K201" s="2">
        <f>MONTH(Data[[#This Row],[OrderDate]])</f>
        <v>4</v>
      </c>
      <c r="M201" s="12">
        <v>1985</v>
      </c>
      <c r="N201" s="21">
        <f>MAX(Data[OrderDate])-_xlfn.MAXIFS(Data[OrderDate],Data[CustomerID],M201)</f>
        <v>370</v>
      </c>
      <c r="O201" s="22">
        <f>COUNTIFS(Data[CustomerID], M201)</f>
        <v>1</v>
      </c>
      <c r="P201" s="23">
        <f>SUMIFS(Data[Amount], Data[CustomerID], M201)</f>
        <v>471.7</v>
      </c>
    </row>
    <row r="202" spans="1:16" x14ac:dyDescent="0.25">
      <c r="A202">
        <v>1187</v>
      </c>
      <c r="B202">
        <v>126</v>
      </c>
      <c r="C202" s="1">
        <v>45047</v>
      </c>
      <c r="D202">
        <v>301.36</v>
      </c>
      <c r="E202" t="s">
        <v>11</v>
      </c>
      <c r="F202" t="s">
        <v>10</v>
      </c>
      <c r="G202">
        <f>COUNTIF(Data[CustomerID], Data[[#This Row],[CustomerID]])</f>
        <v>1</v>
      </c>
      <c r="H202" s="1" t="str">
        <f>TEXT(Data[OrderDate],"yyyy-mmm")</f>
        <v>2023-May</v>
      </c>
      <c r="I202">
        <f>IF(
   COUNTIFS(
      Data[CustomerID], Data[[#This Row],[CustomerID]],
      Data[OrderDate], "&lt;" &amp; EOMONTH(Data[[#This Row],[OrderDate]], -1) + 1
   ) &gt; 0,
   1,
   0
)</f>
        <v>0</v>
      </c>
      <c r="J202">
        <f>YEAR(Data[[#This Row],[OrderDate]])</f>
        <v>2023</v>
      </c>
      <c r="K202" s="2">
        <f>MONTH(Data[[#This Row],[OrderDate]])</f>
        <v>5</v>
      </c>
      <c r="M202" s="12">
        <v>1111</v>
      </c>
      <c r="N202" s="21">
        <f>MAX(Data[OrderDate])-_xlfn.MAXIFS(Data[OrderDate],Data[CustomerID],M202)</f>
        <v>354</v>
      </c>
      <c r="O202" s="22">
        <f>COUNTIFS(Data[CustomerID], M202)</f>
        <v>1</v>
      </c>
      <c r="P202" s="23">
        <f>SUMIFS(Data[Amount], Data[CustomerID], M202)</f>
        <v>471.48</v>
      </c>
    </row>
    <row r="203" spans="1:16" x14ac:dyDescent="0.25">
      <c r="A203">
        <v>1108</v>
      </c>
      <c r="B203">
        <v>818</v>
      </c>
      <c r="C203" s="1">
        <v>45050</v>
      </c>
      <c r="D203">
        <v>376.61</v>
      </c>
      <c r="E203" t="s">
        <v>9</v>
      </c>
      <c r="F203" t="s">
        <v>10</v>
      </c>
      <c r="G203">
        <f>COUNTIF(Data[CustomerID], Data[[#This Row],[CustomerID]])</f>
        <v>1</v>
      </c>
      <c r="H203" s="1" t="str">
        <f>TEXT(Data[OrderDate],"yyyy-mmm")</f>
        <v>2023-May</v>
      </c>
      <c r="I203">
        <f>IF(
   COUNTIFS(
      Data[CustomerID], Data[[#This Row],[CustomerID]],
      Data[OrderDate], "&lt;" &amp; EOMONTH(Data[[#This Row],[OrderDate]], -1) + 1
   ) &gt; 0,
   1,
   0
)</f>
        <v>0</v>
      </c>
      <c r="J203">
        <f>YEAR(Data[[#This Row],[OrderDate]])</f>
        <v>2023</v>
      </c>
      <c r="K203" s="2">
        <f>MONTH(Data[[#This Row],[OrderDate]])</f>
        <v>5</v>
      </c>
      <c r="M203" s="12">
        <v>1769</v>
      </c>
      <c r="N203" s="21">
        <f>MAX(Data[OrderDate])-_xlfn.MAXIFS(Data[OrderDate],Data[CustomerID],M203)</f>
        <v>263</v>
      </c>
      <c r="O203" s="22">
        <f>COUNTIFS(Data[CustomerID], M203)</f>
        <v>1</v>
      </c>
      <c r="P203" s="23">
        <f>SUMIFS(Data[Amount], Data[CustomerID], M203)</f>
        <v>470.91</v>
      </c>
    </row>
    <row r="204" spans="1:16" x14ac:dyDescent="0.25">
      <c r="A204">
        <v>1871</v>
      </c>
      <c r="B204">
        <v>89</v>
      </c>
      <c r="C204" s="1">
        <v>45052</v>
      </c>
      <c r="D204">
        <v>273.93</v>
      </c>
      <c r="E204" t="s">
        <v>15</v>
      </c>
      <c r="F204" t="s">
        <v>12</v>
      </c>
      <c r="G204">
        <f>COUNTIF(Data[CustomerID], Data[[#This Row],[CustomerID]])</f>
        <v>5</v>
      </c>
      <c r="H204" s="1" t="str">
        <f>TEXT(Data[OrderDate],"yyyy-mmm")</f>
        <v>2023-May</v>
      </c>
      <c r="I204">
        <f>IF(
   COUNTIFS(
      Data[CustomerID], Data[[#This Row],[CustomerID]],
      Data[OrderDate], "&lt;" &amp; EOMONTH(Data[[#This Row],[OrderDate]], -1) + 1
   ) &gt; 0,
   1,
   0
)</f>
        <v>0</v>
      </c>
      <c r="J204">
        <f>YEAR(Data[[#This Row],[OrderDate]])</f>
        <v>2023</v>
      </c>
      <c r="K204" s="2">
        <f>MONTH(Data[[#This Row],[OrderDate]])</f>
        <v>5</v>
      </c>
      <c r="M204" s="12">
        <v>1240</v>
      </c>
      <c r="N204" s="21">
        <f>MAX(Data[OrderDate])-_xlfn.MAXIFS(Data[OrderDate],Data[CustomerID],M204)</f>
        <v>380</v>
      </c>
      <c r="O204" s="22">
        <f>COUNTIFS(Data[CustomerID], M204)</f>
        <v>1</v>
      </c>
      <c r="P204" s="23">
        <f>SUMIFS(Data[Amount], Data[CustomerID], M204)</f>
        <v>470.73</v>
      </c>
    </row>
    <row r="205" spans="1:16" x14ac:dyDescent="0.25">
      <c r="A205">
        <v>1546</v>
      </c>
      <c r="B205">
        <v>172</v>
      </c>
      <c r="C205" s="1">
        <v>45052</v>
      </c>
      <c r="D205">
        <v>174.61</v>
      </c>
      <c r="E205" t="s">
        <v>8</v>
      </c>
      <c r="F205" t="s">
        <v>10</v>
      </c>
      <c r="G205">
        <f>COUNTIF(Data[CustomerID], Data[[#This Row],[CustomerID]])</f>
        <v>3</v>
      </c>
      <c r="H205" s="1" t="str">
        <f>TEXT(Data[OrderDate],"yyyy-mmm")</f>
        <v>2023-May</v>
      </c>
      <c r="I205">
        <f>IF(
   COUNTIFS(
      Data[CustomerID], Data[[#This Row],[CustomerID]],
      Data[OrderDate], "&lt;" &amp; EOMONTH(Data[[#This Row],[OrderDate]], -1) + 1
   ) &gt; 0,
   1,
   0
)</f>
        <v>0</v>
      </c>
      <c r="J205">
        <f>YEAR(Data[[#This Row],[OrderDate]])</f>
        <v>2023</v>
      </c>
      <c r="K205" s="2">
        <f>MONTH(Data[[#This Row],[OrderDate]])</f>
        <v>5</v>
      </c>
      <c r="M205" s="12">
        <v>1915</v>
      </c>
      <c r="N205" s="21">
        <f>MAX(Data[OrderDate])-_xlfn.MAXIFS(Data[OrderDate],Data[CustomerID],M205)</f>
        <v>225</v>
      </c>
      <c r="O205" s="22">
        <f>COUNTIFS(Data[CustomerID], M205)</f>
        <v>1</v>
      </c>
      <c r="P205" s="23">
        <f>SUMIFS(Data[Amount], Data[CustomerID], M205)</f>
        <v>466.7</v>
      </c>
    </row>
    <row r="206" spans="1:16" x14ac:dyDescent="0.25">
      <c r="A206">
        <v>1672</v>
      </c>
      <c r="B206">
        <v>387</v>
      </c>
      <c r="C206" s="1">
        <v>45053</v>
      </c>
      <c r="D206">
        <v>255.89</v>
      </c>
      <c r="E206" t="s">
        <v>20</v>
      </c>
      <c r="F206" t="s">
        <v>18</v>
      </c>
      <c r="G206">
        <f>COUNTIF(Data[CustomerID], Data[[#This Row],[CustomerID]])</f>
        <v>1</v>
      </c>
      <c r="H206" s="1" t="str">
        <f>TEXT(Data[OrderDate],"yyyy-mmm")</f>
        <v>2023-May</v>
      </c>
      <c r="I206">
        <f>IF(
   COUNTIFS(
      Data[CustomerID], Data[[#This Row],[CustomerID]],
      Data[OrderDate], "&lt;" &amp; EOMONTH(Data[[#This Row],[OrderDate]], -1) + 1
   ) &gt; 0,
   1,
   0
)</f>
        <v>0</v>
      </c>
      <c r="J206">
        <f>YEAR(Data[[#This Row],[OrderDate]])</f>
        <v>2023</v>
      </c>
      <c r="K206" s="2">
        <f>MONTH(Data[[#This Row],[OrderDate]])</f>
        <v>5</v>
      </c>
      <c r="M206" s="12">
        <v>1080</v>
      </c>
      <c r="N206" s="21">
        <f>MAX(Data[OrderDate])-_xlfn.MAXIFS(Data[OrderDate],Data[CustomerID],M206)</f>
        <v>153</v>
      </c>
      <c r="O206" s="22">
        <f>COUNTIFS(Data[CustomerID], M206)</f>
        <v>2</v>
      </c>
      <c r="P206" s="23">
        <f>SUMIFS(Data[Amount], Data[CustomerID], M206)</f>
        <v>465.69</v>
      </c>
    </row>
    <row r="207" spans="1:16" x14ac:dyDescent="0.25">
      <c r="A207">
        <v>1971</v>
      </c>
      <c r="B207">
        <v>545</v>
      </c>
      <c r="C207" s="1">
        <v>45054</v>
      </c>
      <c r="D207">
        <v>471.45</v>
      </c>
      <c r="E207" t="s">
        <v>6</v>
      </c>
      <c r="F207" t="s">
        <v>10</v>
      </c>
      <c r="G207">
        <f>COUNTIF(Data[CustomerID], Data[[#This Row],[CustomerID]])</f>
        <v>2</v>
      </c>
      <c r="H207" s="1" t="str">
        <f>TEXT(Data[OrderDate],"yyyy-mmm")</f>
        <v>2023-May</v>
      </c>
      <c r="I207">
        <f>IF(
   COUNTIFS(
      Data[CustomerID], Data[[#This Row],[CustomerID]],
      Data[OrderDate], "&lt;" &amp; EOMONTH(Data[[#This Row],[OrderDate]], -1) + 1
   ) &gt; 0,
   1,
   0
)</f>
        <v>1</v>
      </c>
      <c r="J207">
        <f>YEAR(Data[[#This Row],[OrderDate]])</f>
        <v>2023</v>
      </c>
      <c r="K207" s="2">
        <f>MONTH(Data[[#This Row],[OrderDate]])</f>
        <v>5</v>
      </c>
      <c r="M207" s="12">
        <v>1042</v>
      </c>
      <c r="N207" s="21">
        <f>MAX(Data[OrderDate])-_xlfn.MAXIFS(Data[OrderDate],Data[CustomerID],M207)</f>
        <v>592</v>
      </c>
      <c r="O207" s="22">
        <f>COUNTIFS(Data[CustomerID], M207)</f>
        <v>1</v>
      </c>
      <c r="P207" s="23">
        <f>SUMIFS(Data[Amount], Data[CustomerID], M207)</f>
        <v>465.16</v>
      </c>
    </row>
    <row r="208" spans="1:16" x14ac:dyDescent="0.25">
      <c r="A208">
        <v>1304</v>
      </c>
      <c r="B208">
        <v>566</v>
      </c>
      <c r="C208" s="1">
        <v>45054</v>
      </c>
      <c r="D208">
        <v>448.43</v>
      </c>
      <c r="E208" t="s">
        <v>15</v>
      </c>
      <c r="F208" t="s">
        <v>12</v>
      </c>
      <c r="G208">
        <f>COUNTIF(Data[CustomerID], Data[[#This Row],[CustomerID]])</f>
        <v>2</v>
      </c>
      <c r="H208" s="1" t="str">
        <f>TEXT(Data[OrderDate],"yyyy-mmm")</f>
        <v>2023-May</v>
      </c>
      <c r="I208">
        <f>IF(
   COUNTIFS(
      Data[CustomerID], Data[[#This Row],[CustomerID]],
      Data[OrderDate], "&lt;" &amp; EOMONTH(Data[[#This Row],[OrderDate]], -1) + 1
   ) &gt; 0,
   1,
   0
)</f>
        <v>0</v>
      </c>
      <c r="J208">
        <f>YEAR(Data[[#This Row],[OrderDate]])</f>
        <v>2023</v>
      </c>
      <c r="K208" s="2">
        <f>MONTH(Data[[#This Row],[OrderDate]])</f>
        <v>5</v>
      </c>
      <c r="M208" s="12">
        <v>1921</v>
      </c>
      <c r="N208" s="21">
        <f>MAX(Data[OrderDate])-_xlfn.MAXIFS(Data[OrderDate],Data[CustomerID],M208)</f>
        <v>428</v>
      </c>
      <c r="O208" s="22">
        <f>COUNTIFS(Data[CustomerID], M208)</f>
        <v>2</v>
      </c>
      <c r="P208" s="23">
        <f>SUMIFS(Data[Amount], Data[CustomerID], M208)</f>
        <v>463.05</v>
      </c>
    </row>
    <row r="209" spans="1:16" x14ac:dyDescent="0.25">
      <c r="A209">
        <v>1297</v>
      </c>
      <c r="B209">
        <v>359</v>
      </c>
      <c r="C209" s="1">
        <v>45056</v>
      </c>
      <c r="D209">
        <v>225.94</v>
      </c>
      <c r="E209" t="s">
        <v>11</v>
      </c>
      <c r="F209" t="s">
        <v>19</v>
      </c>
      <c r="G209">
        <f>COUNTIF(Data[CustomerID], Data[[#This Row],[CustomerID]])</f>
        <v>1</v>
      </c>
      <c r="H209" s="1" t="str">
        <f>TEXT(Data[OrderDate],"yyyy-mmm")</f>
        <v>2023-May</v>
      </c>
      <c r="I209">
        <f>IF(
   COUNTIFS(
      Data[CustomerID], Data[[#This Row],[CustomerID]],
      Data[OrderDate], "&lt;" &amp; EOMONTH(Data[[#This Row],[OrderDate]], -1) + 1
   ) &gt; 0,
   1,
   0
)</f>
        <v>0</v>
      </c>
      <c r="J209">
        <f>YEAR(Data[[#This Row],[OrderDate]])</f>
        <v>2023</v>
      </c>
      <c r="K209" s="2">
        <f>MONTH(Data[[#This Row],[OrderDate]])</f>
        <v>5</v>
      </c>
      <c r="M209" s="12">
        <v>1282</v>
      </c>
      <c r="N209" s="21">
        <f>MAX(Data[OrderDate])-_xlfn.MAXIFS(Data[OrderDate],Data[CustomerID],M209)</f>
        <v>70</v>
      </c>
      <c r="O209" s="22">
        <f>COUNTIFS(Data[CustomerID], M209)</f>
        <v>2</v>
      </c>
      <c r="P209" s="23">
        <f>SUMIFS(Data[Amount], Data[CustomerID], M209)</f>
        <v>462.71000000000004</v>
      </c>
    </row>
    <row r="210" spans="1:16" x14ac:dyDescent="0.25">
      <c r="A210">
        <v>1655</v>
      </c>
      <c r="B210">
        <v>592</v>
      </c>
      <c r="C210" s="1">
        <v>45056</v>
      </c>
      <c r="D210">
        <v>440.24</v>
      </c>
      <c r="E210" t="s">
        <v>15</v>
      </c>
      <c r="F210" t="s">
        <v>10</v>
      </c>
      <c r="G210">
        <f>COUNTIF(Data[CustomerID], Data[[#This Row],[CustomerID]])</f>
        <v>3</v>
      </c>
      <c r="H210" s="1" t="str">
        <f>TEXT(Data[OrderDate],"yyyy-mmm")</f>
        <v>2023-May</v>
      </c>
      <c r="I210">
        <f>IF(
   COUNTIFS(
      Data[CustomerID], Data[[#This Row],[CustomerID]],
      Data[OrderDate], "&lt;" &amp; EOMONTH(Data[[#This Row],[OrderDate]], -1) + 1
   ) &gt; 0,
   1,
   0
)</f>
        <v>1</v>
      </c>
      <c r="J210">
        <f>YEAR(Data[[#This Row],[OrderDate]])</f>
        <v>2023</v>
      </c>
      <c r="K210" s="2">
        <f>MONTH(Data[[#This Row],[OrderDate]])</f>
        <v>5</v>
      </c>
      <c r="M210" s="12">
        <v>1114</v>
      </c>
      <c r="N210" s="21">
        <f>MAX(Data[OrderDate])-_xlfn.MAXIFS(Data[OrderDate],Data[CustomerID],M210)</f>
        <v>434</v>
      </c>
      <c r="O210" s="22">
        <f>COUNTIFS(Data[CustomerID], M210)</f>
        <v>1</v>
      </c>
      <c r="P210" s="23">
        <f>SUMIFS(Data[Amount], Data[CustomerID], M210)</f>
        <v>461.7</v>
      </c>
    </row>
    <row r="211" spans="1:16" x14ac:dyDescent="0.25">
      <c r="A211">
        <v>1470</v>
      </c>
      <c r="B211">
        <v>945</v>
      </c>
      <c r="C211" s="1">
        <v>45056</v>
      </c>
      <c r="D211">
        <v>483.29</v>
      </c>
      <c r="E211" t="s">
        <v>15</v>
      </c>
      <c r="F211" t="s">
        <v>10</v>
      </c>
      <c r="G211">
        <f>COUNTIF(Data[CustomerID], Data[[#This Row],[CustomerID]])</f>
        <v>2</v>
      </c>
      <c r="H211" s="1" t="str">
        <f>TEXT(Data[OrderDate],"yyyy-mmm")</f>
        <v>2023-May</v>
      </c>
      <c r="I211">
        <f>IF(
   COUNTIFS(
      Data[CustomerID], Data[[#This Row],[CustomerID]],
      Data[OrderDate], "&lt;" &amp; EOMONTH(Data[[#This Row],[OrderDate]], -1) + 1
   ) &gt; 0,
   1,
   0
)</f>
        <v>0</v>
      </c>
      <c r="J211">
        <f>YEAR(Data[[#This Row],[OrderDate]])</f>
        <v>2023</v>
      </c>
      <c r="K211" s="2">
        <f>MONTH(Data[[#This Row],[OrderDate]])</f>
        <v>5</v>
      </c>
      <c r="M211" s="12">
        <v>1838</v>
      </c>
      <c r="N211" s="21">
        <f>MAX(Data[OrderDate])-_xlfn.MAXIFS(Data[OrderDate],Data[CustomerID],M211)</f>
        <v>93</v>
      </c>
      <c r="O211" s="22">
        <f>COUNTIFS(Data[CustomerID], M211)</f>
        <v>2</v>
      </c>
      <c r="P211" s="23">
        <f>SUMIFS(Data[Amount], Data[CustomerID], M211)</f>
        <v>460.91999999999996</v>
      </c>
    </row>
    <row r="212" spans="1:16" x14ac:dyDescent="0.25">
      <c r="A212">
        <v>1860</v>
      </c>
      <c r="B212">
        <v>637</v>
      </c>
      <c r="C212" s="1">
        <v>45057</v>
      </c>
      <c r="D212">
        <v>345.5</v>
      </c>
      <c r="E212" t="s">
        <v>17</v>
      </c>
      <c r="F212" t="s">
        <v>12</v>
      </c>
      <c r="G212">
        <f>COUNTIF(Data[CustomerID], Data[[#This Row],[CustomerID]])</f>
        <v>3</v>
      </c>
      <c r="H212" s="1" t="str">
        <f>TEXT(Data[OrderDate],"yyyy-mmm")</f>
        <v>2023-May</v>
      </c>
      <c r="I212">
        <f>IF(
   COUNTIFS(
      Data[CustomerID], Data[[#This Row],[CustomerID]],
      Data[OrderDate], "&lt;" &amp; EOMONTH(Data[[#This Row],[OrderDate]], -1) + 1
   ) &gt; 0,
   1,
   0
)</f>
        <v>0</v>
      </c>
      <c r="J212">
        <f>YEAR(Data[[#This Row],[OrderDate]])</f>
        <v>2023</v>
      </c>
      <c r="K212" s="2">
        <f>MONTH(Data[[#This Row],[OrderDate]])</f>
        <v>5</v>
      </c>
      <c r="M212" s="12">
        <v>1443</v>
      </c>
      <c r="N212" s="21">
        <f>MAX(Data[OrderDate])-_xlfn.MAXIFS(Data[OrderDate],Data[CustomerID],M212)</f>
        <v>23</v>
      </c>
      <c r="O212" s="22">
        <f>COUNTIFS(Data[CustomerID], M212)</f>
        <v>1</v>
      </c>
      <c r="P212" s="23">
        <f>SUMIFS(Data[Amount], Data[CustomerID], M212)</f>
        <v>460.55</v>
      </c>
    </row>
    <row r="213" spans="1:16" x14ac:dyDescent="0.25">
      <c r="A213">
        <v>1674</v>
      </c>
      <c r="B213">
        <v>699</v>
      </c>
      <c r="C213" s="1">
        <v>45057</v>
      </c>
      <c r="D213">
        <v>93.23</v>
      </c>
      <c r="E213" t="s">
        <v>15</v>
      </c>
      <c r="F213" t="s">
        <v>7</v>
      </c>
      <c r="G213">
        <f>COUNTIF(Data[CustomerID], Data[[#This Row],[CustomerID]])</f>
        <v>2</v>
      </c>
      <c r="H213" s="1" t="str">
        <f>TEXT(Data[OrderDate],"yyyy-mmm")</f>
        <v>2023-May</v>
      </c>
      <c r="I213">
        <f>IF(
   COUNTIFS(
      Data[CustomerID], Data[[#This Row],[CustomerID]],
      Data[OrderDate], "&lt;" &amp; EOMONTH(Data[[#This Row],[OrderDate]], -1) + 1
   ) &gt; 0,
   1,
   0
)</f>
        <v>1</v>
      </c>
      <c r="J213">
        <f>YEAR(Data[[#This Row],[OrderDate]])</f>
        <v>2023</v>
      </c>
      <c r="K213" s="2">
        <f>MONTH(Data[[#This Row],[OrderDate]])</f>
        <v>5</v>
      </c>
      <c r="M213" s="12">
        <v>1515</v>
      </c>
      <c r="N213" s="21">
        <f>MAX(Data[OrderDate])-_xlfn.MAXIFS(Data[OrderDate],Data[CustomerID],M213)</f>
        <v>223</v>
      </c>
      <c r="O213" s="22">
        <f>COUNTIFS(Data[CustomerID], M213)</f>
        <v>2</v>
      </c>
      <c r="P213" s="23">
        <f>SUMIFS(Data[Amount], Data[CustomerID], M213)</f>
        <v>455.38</v>
      </c>
    </row>
    <row r="214" spans="1:16" x14ac:dyDescent="0.25">
      <c r="A214">
        <v>1052</v>
      </c>
      <c r="B214">
        <v>297</v>
      </c>
      <c r="C214" s="1">
        <v>45058</v>
      </c>
      <c r="D214">
        <v>183.58</v>
      </c>
      <c r="E214" t="s">
        <v>20</v>
      </c>
      <c r="F214" t="s">
        <v>14</v>
      </c>
      <c r="G214">
        <f>COUNTIF(Data[CustomerID], Data[[#This Row],[CustomerID]])</f>
        <v>3</v>
      </c>
      <c r="H214" s="1" t="str">
        <f>TEXT(Data[OrderDate],"yyyy-mmm")</f>
        <v>2023-May</v>
      </c>
      <c r="I214">
        <f>IF(
   COUNTIFS(
      Data[CustomerID], Data[[#This Row],[CustomerID]],
      Data[OrderDate], "&lt;" &amp; EOMONTH(Data[[#This Row],[OrderDate]], -1) + 1
   ) &gt; 0,
   1,
   0
)</f>
        <v>0</v>
      </c>
      <c r="J214">
        <f>YEAR(Data[[#This Row],[OrderDate]])</f>
        <v>2023</v>
      </c>
      <c r="K214" s="2">
        <f>MONTH(Data[[#This Row],[OrderDate]])</f>
        <v>5</v>
      </c>
      <c r="M214" s="12">
        <v>1258</v>
      </c>
      <c r="N214" s="21">
        <f>MAX(Data[OrderDate])-_xlfn.MAXIFS(Data[OrderDate],Data[CustomerID],M214)</f>
        <v>141</v>
      </c>
      <c r="O214" s="22">
        <f>COUNTIFS(Data[CustomerID], M214)</f>
        <v>2</v>
      </c>
      <c r="P214" s="23">
        <f>SUMIFS(Data[Amount], Data[CustomerID], M214)</f>
        <v>454.57000000000005</v>
      </c>
    </row>
    <row r="215" spans="1:16" x14ac:dyDescent="0.25">
      <c r="A215">
        <v>1955</v>
      </c>
      <c r="B215">
        <v>78</v>
      </c>
      <c r="C215" s="1">
        <v>45059</v>
      </c>
      <c r="D215">
        <v>212.11</v>
      </c>
      <c r="E215" t="s">
        <v>11</v>
      </c>
      <c r="F215" t="s">
        <v>19</v>
      </c>
      <c r="G215">
        <f>COUNTIF(Data[CustomerID], Data[[#This Row],[CustomerID]])</f>
        <v>2</v>
      </c>
      <c r="H215" s="1" t="str">
        <f>TEXT(Data[OrderDate],"yyyy-mmm")</f>
        <v>2023-May</v>
      </c>
      <c r="I215">
        <f>IF(
   COUNTIFS(
      Data[CustomerID], Data[[#This Row],[CustomerID]],
      Data[OrderDate], "&lt;" &amp; EOMONTH(Data[[#This Row],[OrderDate]], -1) + 1
   ) &gt; 0,
   1,
   0
)</f>
        <v>1</v>
      </c>
      <c r="J215">
        <f>YEAR(Data[[#This Row],[OrderDate]])</f>
        <v>2023</v>
      </c>
      <c r="K215" s="2">
        <f>MONTH(Data[[#This Row],[OrderDate]])</f>
        <v>5</v>
      </c>
      <c r="M215" s="12">
        <v>1738</v>
      </c>
      <c r="N215" s="21">
        <f>MAX(Data[OrderDate])-_xlfn.MAXIFS(Data[OrderDate],Data[CustomerID],M215)</f>
        <v>555</v>
      </c>
      <c r="O215" s="22">
        <f>COUNTIFS(Data[CustomerID], M215)</f>
        <v>2</v>
      </c>
      <c r="P215" s="23">
        <f>SUMIFS(Data[Amount], Data[CustomerID], M215)</f>
        <v>454.31</v>
      </c>
    </row>
    <row r="216" spans="1:16" x14ac:dyDescent="0.25">
      <c r="A216">
        <v>1119</v>
      </c>
      <c r="B216">
        <v>386</v>
      </c>
      <c r="C216" s="1">
        <v>45059</v>
      </c>
      <c r="D216">
        <v>306.2</v>
      </c>
      <c r="E216" t="s">
        <v>9</v>
      </c>
      <c r="F216" t="s">
        <v>19</v>
      </c>
      <c r="G216">
        <f>COUNTIF(Data[CustomerID], Data[[#This Row],[CustomerID]])</f>
        <v>2</v>
      </c>
      <c r="H216" s="1" t="str">
        <f>TEXT(Data[OrderDate],"yyyy-mmm")</f>
        <v>2023-May</v>
      </c>
      <c r="I216">
        <f>IF(
   COUNTIFS(
      Data[CustomerID], Data[[#This Row],[CustomerID]],
      Data[OrderDate], "&lt;" &amp; EOMONTH(Data[[#This Row],[OrderDate]], -1) + 1
   ) &gt; 0,
   1,
   0
)</f>
        <v>1</v>
      </c>
      <c r="J216">
        <f>YEAR(Data[[#This Row],[OrderDate]])</f>
        <v>2023</v>
      </c>
      <c r="K216" s="2">
        <f>MONTH(Data[[#This Row],[OrderDate]])</f>
        <v>5</v>
      </c>
      <c r="M216" s="12">
        <v>1782</v>
      </c>
      <c r="N216" s="21">
        <f>MAX(Data[OrderDate])-_xlfn.MAXIFS(Data[OrderDate],Data[CustomerID],M216)</f>
        <v>262</v>
      </c>
      <c r="O216" s="22">
        <f>COUNTIFS(Data[CustomerID], M216)</f>
        <v>2</v>
      </c>
      <c r="P216" s="23">
        <f>SUMIFS(Data[Amount], Data[CustomerID], M216)</f>
        <v>454.20000000000005</v>
      </c>
    </row>
    <row r="217" spans="1:16" x14ac:dyDescent="0.25">
      <c r="A217">
        <v>1656</v>
      </c>
      <c r="B217">
        <v>863</v>
      </c>
      <c r="C217" s="1">
        <v>45059</v>
      </c>
      <c r="D217">
        <v>245.25</v>
      </c>
      <c r="E217" t="s">
        <v>11</v>
      </c>
      <c r="F217" t="s">
        <v>19</v>
      </c>
      <c r="G217">
        <f>COUNTIF(Data[CustomerID], Data[[#This Row],[CustomerID]])</f>
        <v>2</v>
      </c>
      <c r="H217" s="1" t="str">
        <f>TEXT(Data[OrderDate],"yyyy-mmm")</f>
        <v>2023-May</v>
      </c>
      <c r="I217">
        <f>IF(
   COUNTIFS(
      Data[CustomerID], Data[[#This Row],[CustomerID]],
      Data[OrderDate], "&lt;" &amp; EOMONTH(Data[[#This Row],[OrderDate]], -1) + 1
   ) &gt; 0,
   1,
   0
)</f>
        <v>0</v>
      </c>
      <c r="J217">
        <f>YEAR(Data[[#This Row],[OrderDate]])</f>
        <v>2023</v>
      </c>
      <c r="K217" s="2">
        <f>MONTH(Data[[#This Row],[OrderDate]])</f>
        <v>5</v>
      </c>
      <c r="M217" s="12">
        <v>1360</v>
      </c>
      <c r="N217" s="21">
        <f>MAX(Data[OrderDate])-_xlfn.MAXIFS(Data[OrderDate],Data[CustomerID],M217)</f>
        <v>245</v>
      </c>
      <c r="O217" s="22">
        <f>COUNTIFS(Data[CustomerID], M217)</f>
        <v>1</v>
      </c>
      <c r="P217" s="23">
        <f>SUMIFS(Data[Amount], Data[CustomerID], M217)</f>
        <v>453.15</v>
      </c>
    </row>
    <row r="218" spans="1:16" x14ac:dyDescent="0.25">
      <c r="A218">
        <v>1303</v>
      </c>
      <c r="B218">
        <v>370</v>
      </c>
      <c r="C218" s="1">
        <v>45060</v>
      </c>
      <c r="D218">
        <v>5.61</v>
      </c>
      <c r="E218" t="s">
        <v>15</v>
      </c>
      <c r="F218" t="s">
        <v>12</v>
      </c>
      <c r="G218">
        <f>COUNTIF(Data[CustomerID], Data[[#This Row],[CustomerID]])</f>
        <v>1</v>
      </c>
      <c r="H218" s="1" t="str">
        <f>TEXT(Data[OrderDate],"yyyy-mmm")</f>
        <v>2023-May</v>
      </c>
      <c r="I218">
        <f>IF(
   COUNTIFS(
      Data[CustomerID], Data[[#This Row],[CustomerID]],
      Data[OrderDate], "&lt;" &amp; EOMONTH(Data[[#This Row],[OrderDate]], -1) + 1
   ) &gt; 0,
   1,
   0
)</f>
        <v>0</v>
      </c>
      <c r="J218">
        <f>YEAR(Data[[#This Row],[OrderDate]])</f>
        <v>2023</v>
      </c>
      <c r="K218" s="2">
        <f>MONTH(Data[[#This Row],[OrderDate]])</f>
        <v>5</v>
      </c>
      <c r="M218" s="12">
        <v>1848</v>
      </c>
      <c r="N218" s="21">
        <f>MAX(Data[OrderDate])-_xlfn.MAXIFS(Data[OrderDate],Data[CustomerID],M218)</f>
        <v>223</v>
      </c>
      <c r="O218" s="22">
        <f>COUNTIFS(Data[CustomerID], M218)</f>
        <v>1</v>
      </c>
      <c r="P218" s="23">
        <f>SUMIFS(Data[Amount], Data[CustomerID], M218)</f>
        <v>452.44</v>
      </c>
    </row>
    <row r="219" spans="1:16" x14ac:dyDescent="0.25">
      <c r="A219">
        <v>1242</v>
      </c>
      <c r="B219">
        <v>215</v>
      </c>
      <c r="C219" s="1">
        <v>45063</v>
      </c>
      <c r="D219">
        <v>221.9</v>
      </c>
      <c r="E219" t="s">
        <v>17</v>
      </c>
      <c r="F219" t="s">
        <v>7</v>
      </c>
      <c r="G219">
        <f>COUNTIF(Data[CustomerID], Data[[#This Row],[CustomerID]])</f>
        <v>1</v>
      </c>
      <c r="H219" s="1" t="str">
        <f>TEXT(Data[OrderDate],"yyyy-mmm")</f>
        <v>2023-May</v>
      </c>
      <c r="I219">
        <f>IF(
   COUNTIFS(
      Data[CustomerID], Data[[#This Row],[CustomerID]],
      Data[OrderDate], "&lt;" &amp; EOMONTH(Data[[#This Row],[OrderDate]], -1) + 1
   ) &gt; 0,
   1,
   0
)</f>
        <v>0</v>
      </c>
      <c r="J219">
        <f>YEAR(Data[[#This Row],[OrderDate]])</f>
        <v>2023</v>
      </c>
      <c r="K219" s="2">
        <f>MONTH(Data[[#This Row],[OrderDate]])</f>
        <v>5</v>
      </c>
      <c r="M219" s="12">
        <v>1450</v>
      </c>
      <c r="N219" s="21">
        <f>MAX(Data[OrderDate])-_xlfn.MAXIFS(Data[OrderDate],Data[CustomerID],M219)</f>
        <v>587</v>
      </c>
      <c r="O219" s="22">
        <f>COUNTIFS(Data[CustomerID], M219)</f>
        <v>1</v>
      </c>
      <c r="P219" s="23">
        <f>SUMIFS(Data[Amount], Data[CustomerID], M219)</f>
        <v>451.14</v>
      </c>
    </row>
    <row r="220" spans="1:16" x14ac:dyDescent="0.25">
      <c r="A220">
        <v>1624</v>
      </c>
      <c r="B220">
        <v>280</v>
      </c>
      <c r="C220" s="1">
        <v>45063</v>
      </c>
      <c r="D220">
        <v>151.16</v>
      </c>
      <c r="E220" t="s">
        <v>20</v>
      </c>
      <c r="F220" t="s">
        <v>18</v>
      </c>
      <c r="G220">
        <f>COUNTIF(Data[CustomerID], Data[[#This Row],[CustomerID]])</f>
        <v>2</v>
      </c>
      <c r="H220" s="1" t="str">
        <f>TEXT(Data[OrderDate],"yyyy-mmm")</f>
        <v>2023-May</v>
      </c>
      <c r="I220">
        <f>IF(
   COUNTIFS(
      Data[CustomerID], Data[[#This Row],[CustomerID]],
      Data[OrderDate], "&lt;" &amp; EOMONTH(Data[[#This Row],[OrderDate]], -1) + 1
   ) &gt; 0,
   1,
   0
)</f>
        <v>1</v>
      </c>
      <c r="J220">
        <f>YEAR(Data[[#This Row],[OrderDate]])</f>
        <v>2023</v>
      </c>
      <c r="K220" s="2">
        <f>MONTH(Data[[#This Row],[OrderDate]])</f>
        <v>5</v>
      </c>
      <c r="M220" s="12">
        <v>1313</v>
      </c>
      <c r="N220" s="21">
        <f>MAX(Data[OrderDate])-_xlfn.MAXIFS(Data[OrderDate],Data[CustomerID],M220)</f>
        <v>90</v>
      </c>
      <c r="O220" s="22">
        <f>COUNTIFS(Data[CustomerID], M220)</f>
        <v>2</v>
      </c>
      <c r="P220" s="23">
        <f>SUMIFS(Data[Amount], Data[CustomerID], M220)</f>
        <v>450.89</v>
      </c>
    </row>
    <row r="221" spans="1:16" x14ac:dyDescent="0.25">
      <c r="A221">
        <v>1705</v>
      </c>
      <c r="B221">
        <v>409</v>
      </c>
      <c r="C221" s="1">
        <v>45063</v>
      </c>
      <c r="D221">
        <v>315.83999999999997</v>
      </c>
      <c r="E221" t="s">
        <v>20</v>
      </c>
      <c r="F221" t="s">
        <v>16</v>
      </c>
      <c r="G221">
        <f>COUNTIF(Data[CustomerID], Data[[#This Row],[CustomerID]])</f>
        <v>1</v>
      </c>
      <c r="H221" s="1" t="str">
        <f>TEXT(Data[OrderDate],"yyyy-mmm")</f>
        <v>2023-May</v>
      </c>
      <c r="I221">
        <f>IF(
   COUNTIFS(
      Data[CustomerID], Data[[#This Row],[CustomerID]],
      Data[OrderDate], "&lt;" &amp; EOMONTH(Data[[#This Row],[OrderDate]], -1) + 1
   ) &gt; 0,
   1,
   0
)</f>
        <v>0</v>
      </c>
      <c r="J221">
        <f>YEAR(Data[[#This Row],[OrderDate]])</f>
        <v>2023</v>
      </c>
      <c r="K221" s="2">
        <f>MONTH(Data[[#This Row],[OrderDate]])</f>
        <v>5</v>
      </c>
      <c r="M221" s="12">
        <v>1560</v>
      </c>
      <c r="N221" s="21">
        <f>MAX(Data[OrderDate])-_xlfn.MAXIFS(Data[OrderDate],Data[CustomerID],M221)</f>
        <v>666</v>
      </c>
      <c r="O221" s="22">
        <f>COUNTIFS(Data[CustomerID], M221)</f>
        <v>1</v>
      </c>
      <c r="P221" s="23">
        <f>SUMIFS(Data[Amount], Data[CustomerID], M221)</f>
        <v>448.63</v>
      </c>
    </row>
    <row r="222" spans="1:16" x14ac:dyDescent="0.25">
      <c r="A222">
        <v>1607</v>
      </c>
      <c r="B222">
        <v>681</v>
      </c>
      <c r="C222" s="1">
        <v>45063</v>
      </c>
      <c r="D222">
        <v>374.23</v>
      </c>
      <c r="E222" t="s">
        <v>17</v>
      </c>
      <c r="F222" t="s">
        <v>10</v>
      </c>
      <c r="G222">
        <f>COUNTIF(Data[CustomerID], Data[[#This Row],[CustomerID]])</f>
        <v>2</v>
      </c>
      <c r="H222" s="1" t="str">
        <f>TEXT(Data[OrderDate],"yyyy-mmm")</f>
        <v>2023-May</v>
      </c>
      <c r="I222">
        <f>IF(
   COUNTIFS(
      Data[CustomerID], Data[[#This Row],[CustomerID]],
      Data[OrderDate], "&lt;" &amp; EOMONTH(Data[[#This Row],[OrderDate]], -1) + 1
   ) &gt; 0,
   1,
   0
)</f>
        <v>0</v>
      </c>
      <c r="J222">
        <f>YEAR(Data[[#This Row],[OrderDate]])</f>
        <v>2023</v>
      </c>
      <c r="K222" s="2">
        <f>MONTH(Data[[#This Row],[OrderDate]])</f>
        <v>5</v>
      </c>
      <c r="M222" s="12">
        <v>1674</v>
      </c>
      <c r="N222" s="21">
        <f>MAX(Data[OrderDate])-_xlfn.MAXIFS(Data[OrderDate],Data[CustomerID],M222)</f>
        <v>569</v>
      </c>
      <c r="O222" s="22">
        <f>COUNTIFS(Data[CustomerID], M222)</f>
        <v>2</v>
      </c>
      <c r="P222" s="23">
        <f>SUMIFS(Data[Amount], Data[CustomerID], M222)</f>
        <v>447.40000000000003</v>
      </c>
    </row>
    <row r="223" spans="1:16" x14ac:dyDescent="0.25">
      <c r="A223">
        <v>1454</v>
      </c>
      <c r="B223">
        <v>79</v>
      </c>
      <c r="C223" s="1">
        <v>45064</v>
      </c>
      <c r="D223">
        <v>105.77</v>
      </c>
      <c r="E223" t="s">
        <v>11</v>
      </c>
      <c r="F223" t="s">
        <v>16</v>
      </c>
      <c r="G223">
        <f>COUNTIF(Data[CustomerID], Data[[#This Row],[CustomerID]])</f>
        <v>2</v>
      </c>
      <c r="H223" s="1" t="str">
        <f>TEXT(Data[OrderDate],"yyyy-mmm")</f>
        <v>2023-May</v>
      </c>
      <c r="I223">
        <f>IF(
   COUNTIFS(
      Data[CustomerID], Data[[#This Row],[CustomerID]],
      Data[OrderDate], "&lt;" &amp; EOMONTH(Data[[#This Row],[OrderDate]], -1) + 1
   ) &gt; 0,
   1,
   0
)</f>
        <v>1</v>
      </c>
      <c r="J223">
        <f>YEAR(Data[[#This Row],[OrderDate]])</f>
        <v>2023</v>
      </c>
      <c r="K223" s="2">
        <f>MONTH(Data[[#This Row],[OrderDate]])</f>
        <v>5</v>
      </c>
      <c r="M223" s="12">
        <v>1471</v>
      </c>
      <c r="N223" s="21">
        <f>MAX(Data[OrderDate])-_xlfn.MAXIFS(Data[OrderDate],Data[CustomerID],M223)</f>
        <v>8</v>
      </c>
      <c r="O223" s="22">
        <f>COUNTIFS(Data[CustomerID], M223)</f>
        <v>2</v>
      </c>
      <c r="P223" s="23">
        <f>SUMIFS(Data[Amount], Data[CustomerID], M223)</f>
        <v>446.76</v>
      </c>
    </row>
    <row r="224" spans="1:16" x14ac:dyDescent="0.25">
      <c r="A224">
        <v>1317</v>
      </c>
      <c r="B224">
        <v>253</v>
      </c>
      <c r="C224" s="1">
        <v>45065</v>
      </c>
      <c r="D224">
        <v>412.08</v>
      </c>
      <c r="E224" t="s">
        <v>13</v>
      </c>
      <c r="F224" t="s">
        <v>7</v>
      </c>
      <c r="G224">
        <f>COUNTIF(Data[CustomerID], Data[[#This Row],[CustomerID]])</f>
        <v>1</v>
      </c>
      <c r="H224" s="1" t="str">
        <f>TEXT(Data[OrderDate],"yyyy-mmm")</f>
        <v>2023-May</v>
      </c>
      <c r="I224">
        <f>IF(
   COUNTIFS(
      Data[CustomerID], Data[[#This Row],[CustomerID]],
      Data[OrderDate], "&lt;" &amp; EOMONTH(Data[[#This Row],[OrderDate]], -1) + 1
   ) &gt; 0,
   1,
   0
)</f>
        <v>0</v>
      </c>
      <c r="J224">
        <f>YEAR(Data[[#This Row],[OrderDate]])</f>
        <v>2023</v>
      </c>
      <c r="K224" s="2">
        <f>MONTH(Data[[#This Row],[OrderDate]])</f>
        <v>5</v>
      </c>
      <c r="M224" s="12">
        <v>1956</v>
      </c>
      <c r="N224" s="21">
        <f>MAX(Data[OrderDate])-_xlfn.MAXIFS(Data[OrderDate],Data[CustomerID],M224)</f>
        <v>583</v>
      </c>
      <c r="O224" s="22">
        <f>COUNTIFS(Data[CustomerID], M224)</f>
        <v>2</v>
      </c>
      <c r="P224" s="23">
        <f>SUMIFS(Data[Amount], Data[CustomerID], M224)</f>
        <v>446.22</v>
      </c>
    </row>
    <row r="225" spans="1:16" x14ac:dyDescent="0.25">
      <c r="A225">
        <v>1744</v>
      </c>
      <c r="B225">
        <v>246</v>
      </c>
      <c r="C225" s="1">
        <v>45066</v>
      </c>
      <c r="D225">
        <v>126.8</v>
      </c>
      <c r="E225" t="s">
        <v>15</v>
      </c>
      <c r="F225" t="s">
        <v>14</v>
      </c>
      <c r="G225">
        <f>COUNTIF(Data[CustomerID], Data[[#This Row],[CustomerID]])</f>
        <v>2</v>
      </c>
      <c r="H225" s="1" t="str">
        <f>TEXT(Data[OrderDate],"yyyy-mmm")</f>
        <v>2023-May</v>
      </c>
      <c r="I225">
        <f>IF(
   COUNTIFS(
      Data[CustomerID], Data[[#This Row],[CustomerID]],
      Data[OrderDate], "&lt;" &amp; EOMONTH(Data[[#This Row],[OrderDate]], -1) + 1
   ) &gt; 0,
   1,
   0
)</f>
        <v>0</v>
      </c>
      <c r="J225">
        <f>YEAR(Data[[#This Row],[OrderDate]])</f>
        <v>2023</v>
      </c>
      <c r="K225" s="2">
        <f>MONTH(Data[[#This Row],[OrderDate]])</f>
        <v>5</v>
      </c>
      <c r="M225" s="12">
        <v>1537</v>
      </c>
      <c r="N225" s="21">
        <f>MAX(Data[OrderDate])-_xlfn.MAXIFS(Data[OrderDate],Data[CustomerID],M225)</f>
        <v>177</v>
      </c>
      <c r="O225" s="22">
        <f>COUNTIFS(Data[CustomerID], M225)</f>
        <v>1</v>
      </c>
      <c r="P225" s="23">
        <f>SUMIFS(Data[Amount], Data[CustomerID], M225)</f>
        <v>445.25</v>
      </c>
    </row>
    <row r="226" spans="1:16" x14ac:dyDescent="0.25">
      <c r="A226">
        <v>1919</v>
      </c>
      <c r="B226">
        <v>753</v>
      </c>
      <c r="C226" s="1">
        <v>45066</v>
      </c>
      <c r="D226">
        <v>176.23</v>
      </c>
      <c r="E226" t="s">
        <v>6</v>
      </c>
      <c r="F226" t="s">
        <v>19</v>
      </c>
      <c r="G226">
        <f>COUNTIF(Data[CustomerID], Data[[#This Row],[CustomerID]])</f>
        <v>2</v>
      </c>
      <c r="H226" s="1" t="str">
        <f>TEXT(Data[OrderDate],"yyyy-mmm")</f>
        <v>2023-May</v>
      </c>
      <c r="I226">
        <f>IF(
   COUNTIFS(
      Data[CustomerID], Data[[#This Row],[CustomerID]],
      Data[OrderDate], "&lt;" &amp; EOMONTH(Data[[#This Row],[OrderDate]], -1) + 1
   ) &gt; 0,
   1,
   0
)</f>
        <v>1</v>
      </c>
      <c r="J226">
        <f>YEAR(Data[[#This Row],[OrderDate]])</f>
        <v>2023</v>
      </c>
      <c r="K226" s="2">
        <f>MONTH(Data[[#This Row],[OrderDate]])</f>
        <v>5</v>
      </c>
      <c r="M226" s="12">
        <v>1347</v>
      </c>
      <c r="N226" s="21">
        <f>MAX(Data[OrderDate])-_xlfn.MAXIFS(Data[OrderDate],Data[CustomerID],M226)</f>
        <v>128</v>
      </c>
      <c r="O226" s="22">
        <f>COUNTIFS(Data[CustomerID], M226)</f>
        <v>3</v>
      </c>
      <c r="P226" s="23">
        <f>SUMIFS(Data[Amount], Data[CustomerID], M226)</f>
        <v>443.64</v>
      </c>
    </row>
    <row r="227" spans="1:16" x14ac:dyDescent="0.25">
      <c r="A227">
        <v>1232</v>
      </c>
      <c r="B227">
        <v>377</v>
      </c>
      <c r="C227" s="1">
        <v>45067</v>
      </c>
      <c r="D227">
        <v>14.91</v>
      </c>
      <c r="E227" t="s">
        <v>20</v>
      </c>
      <c r="F227" t="s">
        <v>12</v>
      </c>
      <c r="G227">
        <f>COUNTIF(Data[CustomerID], Data[[#This Row],[CustomerID]])</f>
        <v>4</v>
      </c>
      <c r="H227" s="1" t="str">
        <f>TEXT(Data[OrderDate],"yyyy-mmm")</f>
        <v>2023-May</v>
      </c>
      <c r="I227">
        <f>IF(
   COUNTIFS(
      Data[CustomerID], Data[[#This Row],[CustomerID]],
      Data[OrderDate], "&lt;" &amp; EOMONTH(Data[[#This Row],[OrderDate]], -1) + 1
   ) &gt; 0,
   1,
   0
)</f>
        <v>0</v>
      </c>
      <c r="J227">
        <f>YEAR(Data[[#This Row],[OrderDate]])</f>
        <v>2023</v>
      </c>
      <c r="K227" s="2">
        <f>MONTH(Data[[#This Row],[OrderDate]])</f>
        <v>5</v>
      </c>
      <c r="M227" s="12">
        <v>1156</v>
      </c>
      <c r="N227" s="21">
        <f>MAX(Data[OrderDate])-_xlfn.MAXIFS(Data[OrderDate],Data[CustomerID],M227)</f>
        <v>350</v>
      </c>
      <c r="O227" s="22">
        <f>COUNTIFS(Data[CustomerID], M227)</f>
        <v>1</v>
      </c>
      <c r="P227" s="23">
        <f>SUMIFS(Data[Amount], Data[CustomerID], M227)</f>
        <v>442.44</v>
      </c>
    </row>
    <row r="228" spans="1:16" x14ac:dyDescent="0.25">
      <c r="A228">
        <v>1878</v>
      </c>
      <c r="B228">
        <v>453</v>
      </c>
      <c r="C228" s="1">
        <v>45067</v>
      </c>
      <c r="D228">
        <v>109.82</v>
      </c>
      <c r="E228" t="s">
        <v>13</v>
      </c>
      <c r="F228" t="s">
        <v>16</v>
      </c>
      <c r="G228">
        <f>COUNTIF(Data[CustomerID], Data[[#This Row],[CustomerID]])</f>
        <v>2</v>
      </c>
      <c r="H228" s="1" t="str">
        <f>TEXT(Data[OrderDate],"yyyy-mmm")</f>
        <v>2023-May</v>
      </c>
      <c r="I228">
        <f>IF(
   COUNTIFS(
      Data[CustomerID], Data[[#This Row],[CustomerID]],
      Data[OrderDate], "&lt;" &amp; EOMONTH(Data[[#This Row],[OrderDate]], -1) + 1
   ) &gt; 0,
   1,
   0
)</f>
        <v>1</v>
      </c>
      <c r="J228">
        <f>YEAR(Data[[#This Row],[OrderDate]])</f>
        <v>2023</v>
      </c>
      <c r="K228" s="2">
        <f>MONTH(Data[[#This Row],[OrderDate]])</f>
        <v>5</v>
      </c>
      <c r="M228" s="12">
        <v>1413</v>
      </c>
      <c r="N228" s="21">
        <f>MAX(Data[OrderDate])-_xlfn.MAXIFS(Data[OrderDate],Data[CustomerID],M228)</f>
        <v>23</v>
      </c>
      <c r="O228" s="22">
        <f>COUNTIFS(Data[CustomerID], M228)</f>
        <v>1</v>
      </c>
      <c r="P228" s="23">
        <f>SUMIFS(Data[Amount], Data[CustomerID], M228)</f>
        <v>441.85</v>
      </c>
    </row>
    <row r="229" spans="1:16" x14ac:dyDescent="0.25">
      <c r="A229">
        <v>1897</v>
      </c>
      <c r="B229">
        <v>720</v>
      </c>
      <c r="C229" s="1">
        <v>45067</v>
      </c>
      <c r="D229">
        <v>243.05</v>
      </c>
      <c r="E229" t="s">
        <v>20</v>
      </c>
      <c r="F229" t="s">
        <v>14</v>
      </c>
      <c r="G229">
        <f>COUNTIF(Data[CustomerID], Data[[#This Row],[CustomerID]])</f>
        <v>2</v>
      </c>
      <c r="H229" s="1" t="str">
        <f>TEXT(Data[OrderDate],"yyyy-mmm")</f>
        <v>2023-May</v>
      </c>
      <c r="I229">
        <f>IF(
   COUNTIFS(
      Data[CustomerID], Data[[#This Row],[CustomerID]],
      Data[OrderDate], "&lt;" &amp; EOMONTH(Data[[#This Row],[OrderDate]], -1) + 1
   ) &gt; 0,
   1,
   0
)</f>
        <v>0</v>
      </c>
      <c r="J229">
        <f>YEAR(Data[[#This Row],[OrderDate]])</f>
        <v>2023</v>
      </c>
      <c r="K229" s="2">
        <f>MONTH(Data[[#This Row],[OrderDate]])</f>
        <v>5</v>
      </c>
      <c r="M229" s="12">
        <v>1817</v>
      </c>
      <c r="N229" s="21">
        <f>MAX(Data[OrderDate])-_xlfn.MAXIFS(Data[OrderDate],Data[CustomerID],M229)</f>
        <v>229</v>
      </c>
      <c r="O229" s="22">
        <f>COUNTIFS(Data[CustomerID], M229)</f>
        <v>1</v>
      </c>
      <c r="P229" s="23">
        <f>SUMIFS(Data[Amount], Data[CustomerID], M229)</f>
        <v>441.82</v>
      </c>
    </row>
    <row r="230" spans="1:16" x14ac:dyDescent="0.25">
      <c r="A230">
        <v>1074</v>
      </c>
      <c r="B230">
        <v>742</v>
      </c>
      <c r="C230" s="1">
        <v>45068</v>
      </c>
      <c r="D230">
        <v>394.63</v>
      </c>
      <c r="E230" t="s">
        <v>8</v>
      </c>
      <c r="F230" t="s">
        <v>7</v>
      </c>
      <c r="G230">
        <f>COUNTIF(Data[CustomerID], Data[[#This Row],[CustomerID]])</f>
        <v>1</v>
      </c>
      <c r="H230" s="1" t="str">
        <f>TEXT(Data[OrderDate],"yyyy-mmm")</f>
        <v>2023-May</v>
      </c>
      <c r="I230">
        <f>IF(
   COUNTIFS(
      Data[CustomerID], Data[[#This Row],[CustomerID]],
      Data[OrderDate], "&lt;" &amp; EOMONTH(Data[[#This Row],[OrderDate]], -1) + 1
   ) &gt; 0,
   1,
   0
)</f>
        <v>0</v>
      </c>
      <c r="J230">
        <f>YEAR(Data[[#This Row],[OrderDate]])</f>
        <v>2023</v>
      </c>
      <c r="K230" s="2">
        <f>MONTH(Data[[#This Row],[OrderDate]])</f>
        <v>5</v>
      </c>
      <c r="M230" s="12">
        <v>1188</v>
      </c>
      <c r="N230" s="21">
        <f>MAX(Data[OrderDate])-_xlfn.MAXIFS(Data[OrderDate],Data[CustomerID],M230)</f>
        <v>483</v>
      </c>
      <c r="O230" s="22">
        <f>COUNTIFS(Data[CustomerID], M230)</f>
        <v>1</v>
      </c>
      <c r="P230" s="23">
        <f>SUMIFS(Data[Amount], Data[CustomerID], M230)</f>
        <v>440.51</v>
      </c>
    </row>
    <row r="231" spans="1:16" x14ac:dyDescent="0.25">
      <c r="A231">
        <v>1293</v>
      </c>
      <c r="B231">
        <v>311</v>
      </c>
      <c r="C231" s="1">
        <v>45069</v>
      </c>
      <c r="D231">
        <v>121.44</v>
      </c>
      <c r="E231" t="s">
        <v>8</v>
      </c>
      <c r="F231" t="s">
        <v>10</v>
      </c>
      <c r="G231">
        <f>COUNTIF(Data[CustomerID], Data[[#This Row],[CustomerID]])</f>
        <v>1</v>
      </c>
      <c r="H231" s="1" t="str">
        <f>TEXT(Data[OrderDate],"yyyy-mmm")</f>
        <v>2023-May</v>
      </c>
      <c r="I231">
        <f>IF(
   COUNTIFS(
      Data[CustomerID], Data[[#This Row],[CustomerID]],
      Data[OrderDate], "&lt;" &amp; EOMONTH(Data[[#This Row],[OrderDate]], -1) + 1
   ) &gt; 0,
   1,
   0
)</f>
        <v>0</v>
      </c>
      <c r="J231">
        <f>YEAR(Data[[#This Row],[OrderDate]])</f>
        <v>2023</v>
      </c>
      <c r="K231" s="2">
        <f>MONTH(Data[[#This Row],[OrderDate]])</f>
        <v>5</v>
      </c>
      <c r="M231" s="12">
        <v>1922</v>
      </c>
      <c r="N231" s="21">
        <f>MAX(Data[OrderDate])-_xlfn.MAXIFS(Data[OrderDate],Data[CustomerID],M231)</f>
        <v>270</v>
      </c>
      <c r="O231" s="22">
        <f>COUNTIFS(Data[CustomerID], M231)</f>
        <v>1</v>
      </c>
      <c r="P231" s="23">
        <f>SUMIFS(Data[Amount], Data[CustomerID], M231)</f>
        <v>439.24</v>
      </c>
    </row>
    <row r="232" spans="1:16" x14ac:dyDescent="0.25">
      <c r="A232">
        <v>1511</v>
      </c>
      <c r="B232">
        <v>464</v>
      </c>
      <c r="C232" s="1">
        <v>45070</v>
      </c>
      <c r="D232">
        <v>347.35</v>
      </c>
      <c r="E232" t="s">
        <v>20</v>
      </c>
      <c r="F232" t="s">
        <v>10</v>
      </c>
      <c r="G232">
        <f>COUNTIF(Data[CustomerID], Data[[#This Row],[CustomerID]])</f>
        <v>2</v>
      </c>
      <c r="H232" s="1" t="str">
        <f>TEXT(Data[OrderDate],"yyyy-mmm")</f>
        <v>2023-May</v>
      </c>
      <c r="I232">
        <f>IF(
   COUNTIFS(
      Data[CustomerID], Data[[#This Row],[CustomerID]],
      Data[OrderDate], "&lt;" &amp; EOMONTH(Data[[#This Row],[OrderDate]], -1) + 1
   ) &gt; 0,
   1,
   0
)</f>
        <v>0</v>
      </c>
      <c r="J232">
        <f>YEAR(Data[[#This Row],[OrderDate]])</f>
        <v>2023</v>
      </c>
      <c r="K232" s="2">
        <f>MONTH(Data[[#This Row],[OrderDate]])</f>
        <v>5</v>
      </c>
      <c r="M232" s="12">
        <v>1440</v>
      </c>
      <c r="N232" s="21">
        <f>MAX(Data[OrderDate])-_xlfn.MAXIFS(Data[OrderDate],Data[CustomerID],M232)</f>
        <v>241</v>
      </c>
      <c r="O232" s="22">
        <f>COUNTIFS(Data[CustomerID], M232)</f>
        <v>1</v>
      </c>
      <c r="P232" s="23">
        <f>SUMIFS(Data[Amount], Data[CustomerID], M232)</f>
        <v>437.74</v>
      </c>
    </row>
    <row r="233" spans="1:16" x14ac:dyDescent="0.25">
      <c r="A233">
        <v>1191</v>
      </c>
      <c r="B233">
        <v>29</v>
      </c>
      <c r="C233" s="1">
        <v>45071</v>
      </c>
      <c r="D233">
        <v>182.11</v>
      </c>
      <c r="E233" t="s">
        <v>6</v>
      </c>
      <c r="F233" t="s">
        <v>12</v>
      </c>
      <c r="G233">
        <f>COUNTIF(Data[CustomerID], Data[[#This Row],[CustomerID]])</f>
        <v>3</v>
      </c>
      <c r="H233" s="1" t="str">
        <f>TEXT(Data[OrderDate],"yyyy-mmm")</f>
        <v>2023-May</v>
      </c>
      <c r="I233">
        <f>IF(
   COUNTIFS(
      Data[CustomerID], Data[[#This Row],[CustomerID]],
      Data[OrderDate], "&lt;" &amp; EOMONTH(Data[[#This Row],[OrderDate]], -1) + 1
   ) &gt; 0,
   1,
   0
)</f>
        <v>0</v>
      </c>
      <c r="J233">
        <f>YEAR(Data[[#This Row],[OrderDate]])</f>
        <v>2023</v>
      </c>
      <c r="K233" s="2">
        <f>MONTH(Data[[#This Row],[OrderDate]])</f>
        <v>5</v>
      </c>
      <c r="M233" s="12">
        <v>1878</v>
      </c>
      <c r="N233" s="21">
        <f>MAX(Data[OrderDate])-_xlfn.MAXIFS(Data[OrderDate],Data[CustomerID],M233)</f>
        <v>559</v>
      </c>
      <c r="O233" s="22">
        <f>COUNTIFS(Data[CustomerID], M233)</f>
        <v>2</v>
      </c>
      <c r="P233" s="23">
        <f>SUMIFS(Data[Amount], Data[CustomerID], M233)</f>
        <v>437.62</v>
      </c>
    </row>
    <row r="234" spans="1:16" x14ac:dyDescent="0.25">
      <c r="A234">
        <v>1738</v>
      </c>
      <c r="B234">
        <v>174</v>
      </c>
      <c r="C234" s="1">
        <v>45071</v>
      </c>
      <c r="D234">
        <v>67.239999999999995</v>
      </c>
      <c r="E234" t="s">
        <v>6</v>
      </c>
      <c r="F234" t="s">
        <v>16</v>
      </c>
      <c r="G234">
        <f>COUNTIF(Data[CustomerID], Data[[#This Row],[CustomerID]])</f>
        <v>2</v>
      </c>
      <c r="H234" s="1" t="str">
        <f>TEXT(Data[OrderDate],"yyyy-mmm")</f>
        <v>2023-May</v>
      </c>
      <c r="I234">
        <f>IF(
   COUNTIFS(
      Data[CustomerID], Data[[#This Row],[CustomerID]],
      Data[OrderDate], "&lt;" &amp; EOMONTH(Data[[#This Row],[OrderDate]], -1) + 1
   ) &gt; 0,
   1,
   0
)</f>
        <v>1</v>
      </c>
      <c r="J234">
        <f>YEAR(Data[[#This Row],[OrderDate]])</f>
        <v>2023</v>
      </c>
      <c r="K234" s="2">
        <f>MONTH(Data[[#This Row],[OrderDate]])</f>
        <v>5</v>
      </c>
      <c r="M234" s="12">
        <v>1708</v>
      </c>
      <c r="N234" s="21">
        <f>MAX(Data[OrderDate])-_xlfn.MAXIFS(Data[OrderDate],Data[CustomerID],M234)</f>
        <v>245</v>
      </c>
      <c r="O234" s="22">
        <f>COUNTIFS(Data[CustomerID], M234)</f>
        <v>1</v>
      </c>
      <c r="P234" s="23">
        <f>SUMIFS(Data[Amount], Data[CustomerID], M234)</f>
        <v>434.93</v>
      </c>
    </row>
    <row r="235" spans="1:16" x14ac:dyDescent="0.25">
      <c r="A235">
        <v>1836</v>
      </c>
      <c r="B235">
        <v>313</v>
      </c>
      <c r="C235" s="1">
        <v>45071</v>
      </c>
      <c r="D235">
        <v>239.08</v>
      </c>
      <c r="E235" t="s">
        <v>13</v>
      </c>
      <c r="F235" t="s">
        <v>12</v>
      </c>
      <c r="G235">
        <f>COUNTIF(Data[CustomerID], Data[[#This Row],[CustomerID]])</f>
        <v>2</v>
      </c>
      <c r="H235" s="1" t="str">
        <f>TEXT(Data[OrderDate],"yyyy-mmm")</f>
        <v>2023-May</v>
      </c>
      <c r="I235">
        <f>IF(
   COUNTIFS(
      Data[CustomerID], Data[[#This Row],[CustomerID]],
      Data[OrderDate], "&lt;" &amp; EOMONTH(Data[[#This Row],[OrderDate]], -1) + 1
   ) &gt; 0,
   1,
   0
)</f>
        <v>0</v>
      </c>
      <c r="J235">
        <f>YEAR(Data[[#This Row],[OrderDate]])</f>
        <v>2023</v>
      </c>
      <c r="K235" s="2">
        <f>MONTH(Data[[#This Row],[OrderDate]])</f>
        <v>5</v>
      </c>
      <c r="M235" s="12">
        <v>1958</v>
      </c>
      <c r="N235" s="21">
        <f>MAX(Data[OrderDate])-_xlfn.MAXIFS(Data[OrderDate],Data[CustomerID],M235)</f>
        <v>95</v>
      </c>
      <c r="O235" s="22">
        <f>COUNTIFS(Data[CustomerID], M235)</f>
        <v>2</v>
      </c>
      <c r="P235" s="23">
        <f>SUMIFS(Data[Amount], Data[CustomerID], M235)</f>
        <v>433.26</v>
      </c>
    </row>
    <row r="236" spans="1:16" x14ac:dyDescent="0.25">
      <c r="A236">
        <v>1075</v>
      </c>
      <c r="B236">
        <v>792</v>
      </c>
      <c r="C236" s="1">
        <v>45071</v>
      </c>
      <c r="D236">
        <v>74.78</v>
      </c>
      <c r="E236" t="s">
        <v>20</v>
      </c>
      <c r="F236" t="s">
        <v>18</v>
      </c>
      <c r="G236">
        <f>COUNTIF(Data[CustomerID], Data[[#This Row],[CustomerID]])</f>
        <v>2</v>
      </c>
      <c r="H236" s="1" t="str">
        <f>TEXT(Data[OrderDate],"yyyy-mmm")</f>
        <v>2023-May</v>
      </c>
      <c r="I236">
        <f>IF(
   COUNTIFS(
      Data[CustomerID], Data[[#This Row],[CustomerID]],
      Data[OrderDate], "&lt;" &amp; EOMONTH(Data[[#This Row],[OrderDate]], -1) + 1
   ) &gt; 0,
   1,
   0
)</f>
        <v>1</v>
      </c>
      <c r="J236">
        <f>YEAR(Data[[#This Row],[OrderDate]])</f>
        <v>2023</v>
      </c>
      <c r="K236" s="2">
        <f>MONTH(Data[[#This Row],[OrderDate]])</f>
        <v>5</v>
      </c>
      <c r="M236" s="12">
        <v>1717</v>
      </c>
      <c r="N236" s="21">
        <f>MAX(Data[OrderDate])-_xlfn.MAXIFS(Data[OrderDate],Data[CustomerID],M236)</f>
        <v>580</v>
      </c>
      <c r="O236" s="22">
        <f>COUNTIFS(Data[CustomerID], M236)</f>
        <v>1</v>
      </c>
      <c r="P236" s="23">
        <f>SUMIFS(Data[Amount], Data[CustomerID], M236)</f>
        <v>431.68</v>
      </c>
    </row>
    <row r="237" spans="1:16" x14ac:dyDescent="0.25">
      <c r="A237">
        <v>1106</v>
      </c>
      <c r="B237">
        <v>5</v>
      </c>
      <c r="C237" s="1">
        <v>45072</v>
      </c>
      <c r="D237">
        <v>341.83</v>
      </c>
      <c r="E237" t="s">
        <v>13</v>
      </c>
      <c r="F237" t="s">
        <v>14</v>
      </c>
      <c r="G237">
        <f>COUNTIF(Data[CustomerID], Data[[#This Row],[CustomerID]])</f>
        <v>1</v>
      </c>
      <c r="H237" s="1" t="str">
        <f>TEXT(Data[OrderDate],"yyyy-mmm")</f>
        <v>2023-May</v>
      </c>
      <c r="I237">
        <f>IF(
   COUNTIFS(
      Data[CustomerID], Data[[#This Row],[CustomerID]],
      Data[OrderDate], "&lt;" &amp; EOMONTH(Data[[#This Row],[OrderDate]], -1) + 1
   ) &gt; 0,
   1,
   0
)</f>
        <v>0</v>
      </c>
      <c r="J237">
        <f>YEAR(Data[[#This Row],[OrderDate]])</f>
        <v>2023</v>
      </c>
      <c r="K237" s="2">
        <f>MONTH(Data[[#This Row],[OrderDate]])</f>
        <v>5</v>
      </c>
      <c r="M237" s="12">
        <v>1495</v>
      </c>
      <c r="N237" s="21">
        <f>MAX(Data[OrderDate])-_xlfn.MAXIFS(Data[OrderDate],Data[CustomerID],M237)</f>
        <v>509</v>
      </c>
      <c r="O237" s="22">
        <f>COUNTIFS(Data[CustomerID], M237)</f>
        <v>1</v>
      </c>
      <c r="P237" s="23">
        <f>SUMIFS(Data[Amount], Data[CustomerID], M237)</f>
        <v>429.15</v>
      </c>
    </row>
    <row r="238" spans="1:16" x14ac:dyDescent="0.25">
      <c r="A238">
        <v>1766</v>
      </c>
      <c r="B238">
        <v>183</v>
      </c>
      <c r="C238" s="1">
        <v>45072</v>
      </c>
      <c r="D238">
        <v>121.11</v>
      </c>
      <c r="E238" t="s">
        <v>20</v>
      </c>
      <c r="F238" t="s">
        <v>19</v>
      </c>
      <c r="G238">
        <f>COUNTIF(Data[CustomerID], Data[[#This Row],[CustomerID]])</f>
        <v>2</v>
      </c>
      <c r="H238" s="1" t="str">
        <f>TEXT(Data[OrderDate],"yyyy-mmm")</f>
        <v>2023-May</v>
      </c>
      <c r="I238">
        <f>IF(
   COUNTIFS(
      Data[CustomerID], Data[[#This Row],[CustomerID]],
      Data[OrderDate], "&lt;" &amp; EOMONTH(Data[[#This Row],[OrderDate]], -1) + 1
   ) &gt; 0,
   1,
   0
)</f>
        <v>0</v>
      </c>
      <c r="J238">
        <f>YEAR(Data[[#This Row],[OrderDate]])</f>
        <v>2023</v>
      </c>
      <c r="K238" s="2">
        <f>MONTH(Data[[#This Row],[OrderDate]])</f>
        <v>5</v>
      </c>
      <c r="M238" s="12">
        <v>1502</v>
      </c>
      <c r="N238" s="21">
        <f>MAX(Data[OrderDate])-_xlfn.MAXIFS(Data[OrderDate],Data[CustomerID],M238)</f>
        <v>591</v>
      </c>
      <c r="O238" s="22">
        <f>COUNTIFS(Data[CustomerID], M238)</f>
        <v>2</v>
      </c>
      <c r="P238" s="23">
        <f>SUMIFS(Data[Amount], Data[CustomerID], M238)</f>
        <v>427.96000000000004</v>
      </c>
    </row>
    <row r="239" spans="1:16" x14ac:dyDescent="0.25">
      <c r="A239">
        <v>1341</v>
      </c>
      <c r="B239">
        <v>565</v>
      </c>
      <c r="C239" s="1">
        <v>45072</v>
      </c>
      <c r="D239">
        <v>241.74</v>
      </c>
      <c r="E239" t="s">
        <v>20</v>
      </c>
      <c r="F239" t="s">
        <v>19</v>
      </c>
      <c r="G239">
        <f>COUNTIF(Data[CustomerID], Data[[#This Row],[CustomerID]])</f>
        <v>3</v>
      </c>
      <c r="H239" s="1" t="str">
        <f>TEXT(Data[OrderDate],"yyyy-mmm")</f>
        <v>2023-May</v>
      </c>
      <c r="I239">
        <f>IF(
   COUNTIFS(
      Data[CustomerID], Data[[#This Row],[CustomerID]],
      Data[OrderDate], "&lt;" &amp; EOMONTH(Data[[#This Row],[OrderDate]], -1) + 1
   ) &gt; 0,
   1,
   0
)</f>
        <v>1</v>
      </c>
      <c r="J239">
        <f>YEAR(Data[[#This Row],[OrderDate]])</f>
        <v>2023</v>
      </c>
      <c r="K239" s="2">
        <f>MONTH(Data[[#This Row],[OrderDate]])</f>
        <v>5</v>
      </c>
      <c r="M239" s="12">
        <v>1835</v>
      </c>
      <c r="N239" s="21">
        <f>MAX(Data[OrderDate])-_xlfn.MAXIFS(Data[OrderDate],Data[CustomerID],M239)</f>
        <v>84</v>
      </c>
      <c r="O239" s="22">
        <f>COUNTIFS(Data[CustomerID], M239)</f>
        <v>1</v>
      </c>
      <c r="P239" s="23">
        <f>SUMIFS(Data[Amount], Data[CustomerID], M239)</f>
        <v>426.33</v>
      </c>
    </row>
    <row r="240" spans="1:16" x14ac:dyDescent="0.25">
      <c r="A240">
        <v>1728</v>
      </c>
      <c r="B240">
        <v>746</v>
      </c>
      <c r="C240" s="1">
        <v>45072</v>
      </c>
      <c r="D240">
        <v>423.17</v>
      </c>
      <c r="E240" t="s">
        <v>11</v>
      </c>
      <c r="F240" t="s">
        <v>7</v>
      </c>
      <c r="G240">
        <f>COUNTIF(Data[CustomerID], Data[[#This Row],[CustomerID]])</f>
        <v>2</v>
      </c>
      <c r="H240" s="1" t="str">
        <f>TEXT(Data[OrderDate],"yyyy-mmm")</f>
        <v>2023-May</v>
      </c>
      <c r="I240">
        <f>IF(
   COUNTIFS(
      Data[CustomerID], Data[[#This Row],[CustomerID]],
      Data[OrderDate], "&lt;" &amp; EOMONTH(Data[[#This Row],[OrderDate]], -1) + 1
   ) &gt; 0,
   1,
   0
)</f>
        <v>1</v>
      </c>
      <c r="J240">
        <f>YEAR(Data[[#This Row],[OrderDate]])</f>
        <v>2023</v>
      </c>
      <c r="K240" s="2">
        <f>MONTH(Data[[#This Row],[OrderDate]])</f>
        <v>5</v>
      </c>
      <c r="M240" s="12">
        <v>1027</v>
      </c>
      <c r="N240" s="21">
        <f>MAX(Data[OrderDate])-_xlfn.MAXIFS(Data[OrderDate],Data[CustomerID],M240)</f>
        <v>388</v>
      </c>
      <c r="O240" s="22">
        <f>COUNTIFS(Data[CustomerID], M240)</f>
        <v>2</v>
      </c>
      <c r="P240" s="23">
        <f>SUMIFS(Data[Amount], Data[CustomerID], M240)</f>
        <v>426.28</v>
      </c>
    </row>
    <row r="241" spans="1:16" x14ac:dyDescent="0.25">
      <c r="A241">
        <v>1392</v>
      </c>
      <c r="B241">
        <v>519</v>
      </c>
      <c r="C241" s="1">
        <v>45073</v>
      </c>
      <c r="D241">
        <v>465.51</v>
      </c>
      <c r="E241" t="s">
        <v>8</v>
      </c>
      <c r="F241" t="s">
        <v>18</v>
      </c>
      <c r="G241">
        <f>COUNTIF(Data[CustomerID], Data[[#This Row],[CustomerID]])</f>
        <v>4</v>
      </c>
      <c r="H241" s="1" t="str">
        <f>TEXT(Data[OrderDate],"yyyy-mmm")</f>
        <v>2023-May</v>
      </c>
      <c r="I241">
        <f>IF(
   COUNTIFS(
      Data[CustomerID], Data[[#This Row],[CustomerID]],
      Data[OrderDate], "&lt;" &amp; EOMONTH(Data[[#This Row],[OrderDate]], -1) + 1
   ) &gt; 0,
   1,
   0
)</f>
        <v>1</v>
      </c>
      <c r="J241">
        <f>YEAR(Data[[#This Row],[OrderDate]])</f>
        <v>2023</v>
      </c>
      <c r="K241" s="2">
        <f>MONTH(Data[[#This Row],[OrderDate]])</f>
        <v>5</v>
      </c>
      <c r="M241" s="12">
        <v>1153</v>
      </c>
      <c r="N241" s="21">
        <f>MAX(Data[OrderDate])-_xlfn.MAXIFS(Data[OrderDate],Data[CustomerID],M241)</f>
        <v>528</v>
      </c>
      <c r="O241" s="22">
        <f>COUNTIFS(Data[CustomerID], M241)</f>
        <v>1</v>
      </c>
      <c r="P241" s="23">
        <f>SUMIFS(Data[Amount], Data[CustomerID], M241)</f>
        <v>424.78</v>
      </c>
    </row>
    <row r="242" spans="1:16" x14ac:dyDescent="0.25">
      <c r="A242">
        <v>1652</v>
      </c>
      <c r="B242">
        <v>844</v>
      </c>
      <c r="C242" s="1">
        <v>45073</v>
      </c>
      <c r="D242">
        <v>87.19</v>
      </c>
      <c r="E242" t="s">
        <v>11</v>
      </c>
      <c r="F242" t="s">
        <v>14</v>
      </c>
      <c r="G242">
        <f>COUNTIF(Data[CustomerID], Data[[#This Row],[CustomerID]])</f>
        <v>2</v>
      </c>
      <c r="H242" s="1" t="str">
        <f>TEXT(Data[OrderDate],"yyyy-mmm")</f>
        <v>2023-May</v>
      </c>
      <c r="I242">
        <f>IF(
   COUNTIFS(
      Data[CustomerID], Data[[#This Row],[CustomerID]],
      Data[OrderDate], "&lt;" &amp; EOMONTH(Data[[#This Row],[OrderDate]], -1) + 1
   ) &gt; 0,
   1,
   0
)</f>
        <v>1</v>
      </c>
      <c r="J242">
        <f>YEAR(Data[[#This Row],[OrderDate]])</f>
        <v>2023</v>
      </c>
      <c r="K242" s="2">
        <f>MONTH(Data[[#This Row],[OrderDate]])</f>
        <v>5</v>
      </c>
      <c r="M242" s="12">
        <v>1517</v>
      </c>
      <c r="N242" s="21">
        <f>MAX(Data[OrderDate])-_xlfn.MAXIFS(Data[OrderDate],Data[CustomerID],M242)</f>
        <v>198</v>
      </c>
      <c r="O242" s="22">
        <f>COUNTIFS(Data[CustomerID], M242)</f>
        <v>1</v>
      </c>
      <c r="P242" s="23">
        <f>SUMIFS(Data[Amount], Data[CustomerID], M242)</f>
        <v>424.77</v>
      </c>
    </row>
    <row r="243" spans="1:16" x14ac:dyDescent="0.25">
      <c r="A243">
        <v>1775</v>
      </c>
      <c r="B243">
        <v>445</v>
      </c>
      <c r="C243" s="1">
        <v>45074</v>
      </c>
      <c r="D243">
        <v>426.47</v>
      </c>
      <c r="E243" t="s">
        <v>6</v>
      </c>
      <c r="F243" t="s">
        <v>10</v>
      </c>
      <c r="G243">
        <f>COUNTIF(Data[CustomerID], Data[[#This Row],[CustomerID]])</f>
        <v>4</v>
      </c>
      <c r="H243" s="1" t="str">
        <f>TEXT(Data[OrderDate],"yyyy-mmm")</f>
        <v>2023-May</v>
      </c>
      <c r="I243">
        <f>IF(
   COUNTIFS(
      Data[CustomerID], Data[[#This Row],[CustomerID]],
      Data[OrderDate], "&lt;" &amp; EOMONTH(Data[[#This Row],[OrderDate]], -1) + 1
   ) &gt; 0,
   1,
   0
)</f>
        <v>0</v>
      </c>
      <c r="J243">
        <f>YEAR(Data[[#This Row],[OrderDate]])</f>
        <v>2023</v>
      </c>
      <c r="K243" s="2">
        <f>MONTH(Data[[#This Row],[OrderDate]])</f>
        <v>5</v>
      </c>
      <c r="M243" s="12">
        <v>1270</v>
      </c>
      <c r="N243" s="21">
        <f>MAX(Data[OrderDate])-_xlfn.MAXIFS(Data[OrderDate],Data[CustomerID],M243)</f>
        <v>635</v>
      </c>
      <c r="O243" s="22">
        <f>COUNTIFS(Data[CustomerID], M243)</f>
        <v>2</v>
      </c>
      <c r="P243" s="23">
        <f>SUMIFS(Data[Amount], Data[CustomerID], M243)</f>
        <v>424.53999999999996</v>
      </c>
    </row>
    <row r="244" spans="1:16" x14ac:dyDescent="0.25">
      <c r="A244">
        <v>1057</v>
      </c>
      <c r="B244">
        <v>616</v>
      </c>
      <c r="C244" s="1">
        <v>45074</v>
      </c>
      <c r="D244">
        <v>372.99</v>
      </c>
      <c r="E244" t="s">
        <v>13</v>
      </c>
      <c r="F244" t="s">
        <v>12</v>
      </c>
      <c r="G244">
        <f>COUNTIF(Data[CustomerID], Data[[#This Row],[CustomerID]])</f>
        <v>4</v>
      </c>
      <c r="H244" s="1" t="str">
        <f>TEXT(Data[OrderDate],"yyyy-mmm")</f>
        <v>2023-May</v>
      </c>
      <c r="I244">
        <f>IF(
   COUNTIFS(
      Data[CustomerID], Data[[#This Row],[CustomerID]],
      Data[OrderDate], "&lt;" &amp; EOMONTH(Data[[#This Row],[OrderDate]], -1) + 1
   ) &gt; 0,
   1,
   0
)</f>
        <v>0</v>
      </c>
      <c r="J244">
        <f>YEAR(Data[[#This Row],[OrderDate]])</f>
        <v>2023</v>
      </c>
      <c r="K244" s="2">
        <f>MONTH(Data[[#This Row],[OrderDate]])</f>
        <v>5</v>
      </c>
      <c r="M244" s="12">
        <v>1376</v>
      </c>
      <c r="N244" s="21">
        <f>MAX(Data[OrderDate])-_xlfn.MAXIFS(Data[OrderDate],Data[CustomerID],M244)</f>
        <v>374</v>
      </c>
      <c r="O244" s="22">
        <f>COUNTIFS(Data[CustomerID], M244)</f>
        <v>1</v>
      </c>
      <c r="P244" s="23">
        <f>SUMIFS(Data[Amount], Data[CustomerID], M244)</f>
        <v>424.35</v>
      </c>
    </row>
    <row r="245" spans="1:16" x14ac:dyDescent="0.25">
      <c r="A245">
        <v>1658</v>
      </c>
      <c r="B245">
        <v>598</v>
      </c>
      <c r="C245" s="1">
        <v>45075</v>
      </c>
      <c r="D245">
        <v>375.35</v>
      </c>
      <c r="E245" t="s">
        <v>8</v>
      </c>
      <c r="F245" t="s">
        <v>12</v>
      </c>
      <c r="G245">
        <f>COUNTIF(Data[CustomerID], Data[[#This Row],[CustomerID]])</f>
        <v>5</v>
      </c>
      <c r="H245" s="1" t="str">
        <f>TEXT(Data[OrderDate],"yyyy-mmm")</f>
        <v>2023-May</v>
      </c>
      <c r="I245">
        <f>IF(
   COUNTIFS(
      Data[CustomerID], Data[[#This Row],[CustomerID]],
      Data[OrderDate], "&lt;" &amp; EOMONTH(Data[[#This Row],[OrderDate]], -1) + 1
   ) &gt; 0,
   1,
   0
)</f>
        <v>0</v>
      </c>
      <c r="J245">
        <f>YEAR(Data[[#This Row],[OrderDate]])</f>
        <v>2023</v>
      </c>
      <c r="K245" s="2">
        <f>MONTH(Data[[#This Row],[OrderDate]])</f>
        <v>5</v>
      </c>
      <c r="M245" s="12">
        <v>1195</v>
      </c>
      <c r="N245" s="21">
        <f>MAX(Data[OrderDate])-_xlfn.MAXIFS(Data[OrderDate],Data[CustomerID],M245)</f>
        <v>54</v>
      </c>
      <c r="O245" s="22">
        <f>COUNTIFS(Data[CustomerID], M245)</f>
        <v>2</v>
      </c>
      <c r="P245" s="23">
        <f>SUMIFS(Data[Amount], Data[CustomerID], M245)</f>
        <v>422.26</v>
      </c>
    </row>
    <row r="246" spans="1:16" x14ac:dyDescent="0.25">
      <c r="A246">
        <v>1103</v>
      </c>
      <c r="B246">
        <v>517</v>
      </c>
      <c r="C246" s="1">
        <v>45077</v>
      </c>
      <c r="D246">
        <v>42.83</v>
      </c>
      <c r="E246" t="s">
        <v>6</v>
      </c>
      <c r="F246" t="s">
        <v>12</v>
      </c>
      <c r="G246">
        <f>COUNTIF(Data[CustomerID], Data[[#This Row],[CustomerID]])</f>
        <v>2</v>
      </c>
      <c r="H246" s="1" t="str">
        <f>TEXT(Data[OrderDate],"yyyy-mmm")</f>
        <v>2023-May</v>
      </c>
      <c r="I246">
        <f>IF(
   COUNTIFS(
      Data[CustomerID], Data[[#This Row],[CustomerID]],
      Data[OrderDate], "&lt;" &amp; EOMONTH(Data[[#This Row],[OrderDate]], -1) + 1
   ) &gt; 0,
   1,
   0
)</f>
        <v>0</v>
      </c>
      <c r="J246">
        <f>YEAR(Data[[#This Row],[OrderDate]])</f>
        <v>2023</v>
      </c>
      <c r="K246" s="2">
        <f>MONTH(Data[[#This Row],[OrderDate]])</f>
        <v>5</v>
      </c>
      <c r="M246" s="12">
        <v>1427</v>
      </c>
      <c r="N246" s="21">
        <f>MAX(Data[OrderDate])-_xlfn.MAXIFS(Data[OrderDate],Data[CustomerID],M246)</f>
        <v>516</v>
      </c>
      <c r="O246" s="22">
        <f>COUNTIFS(Data[CustomerID], M246)</f>
        <v>1</v>
      </c>
      <c r="P246" s="23">
        <f>SUMIFS(Data[Amount], Data[CustomerID], M246)</f>
        <v>421.02</v>
      </c>
    </row>
    <row r="247" spans="1:16" x14ac:dyDescent="0.25">
      <c r="A247">
        <v>1851</v>
      </c>
      <c r="B247">
        <v>695</v>
      </c>
      <c r="C247" s="1">
        <v>45078</v>
      </c>
      <c r="D247">
        <v>153.22</v>
      </c>
      <c r="E247" t="s">
        <v>17</v>
      </c>
      <c r="F247" t="s">
        <v>7</v>
      </c>
      <c r="G247">
        <f>COUNTIF(Data[CustomerID], Data[[#This Row],[CustomerID]])</f>
        <v>2</v>
      </c>
      <c r="H247" s="1" t="str">
        <f>TEXT(Data[OrderDate],"yyyy-mmm")</f>
        <v>2023-Jun</v>
      </c>
      <c r="I247">
        <f>IF(
   COUNTIFS(
      Data[CustomerID], Data[[#This Row],[CustomerID]],
      Data[OrderDate], "&lt;" &amp; EOMONTH(Data[[#This Row],[OrderDate]], -1) + 1
   ) &gt; 0,
   1,
   0
)</f>
        <v>0</v>
      </c>
      <c r="J247">
        <f>YEAR(Data[[#This Row],[OrderDate]])</f>
        <v>2023</v>
      </c>
      <c r="K247" s="2">
        <f>MONTH(Data[[#This Row],[OrderDate]])</f>
        <v>6</v>
      </c>
      <c r="M247" s="12">
        <v>1783</v>
      </c>
      <c r="N247" s="21">
        <f>MAX(Data[OrderDate])-_xlfn.MAXIFS(Data[OrderDate],Data[CustomerID],M247)</f>
        <v>318</v>
      </c>
      <c r="O247" s="22">
        <f>COUNTIFS(Data[CustomerID], M247)</f>
        <v>1</v>
      </c>
      <c r="P247" s="23">
        <f>SUMIFS(Data[Amount], Data[CustomerID], M247)</f>
        <v>420.53</v>
      </c>
    </row>
    <row r="248" spans="1:16" x14ac:dyDescent="0.25">
      <c r="A248">
        <v>1612</v>
      </c>
      <c r="B248">
        <v>573</v>
      </c>
      <c r="C248" s="1">
        <v>45079</v>
      </c>
      <c r="D248">
        <v>262.77999999999997</v>
      </c>
      <c r="E248" t="s">
        <v>9</v>
      </c>
      <c r="F248" t="s">
        <v>7</v>
      </c>
      <c r="G248">
        <f>COUNTIF(Data[CustomerID], Data[[#This Row],[CustomerID]])</f>
        <v>4</v>
      </c>
      <c r="H248" s="1" t="str">
        <f>TEXT(Data[OrderDate],"yyyy-mmm")</f>
        <v>2023-Jun</v>
      </c>
      <c r="I248">
        <f>IF(
   COUNTIFS(
      Data[CustomerID], Data[[#This Row],[CustomerID]],
      Data[OrderDate], "&lt;" &amp; EOMONTH(Data[[#This Row],[OrderDate]], -1) + 1
   ) &gt; 0,
   1,
   0
)</f>
        <v>0</v>
      </c>
      <c r="J248">
        <f>YEAR(Data[[#This Row],[OrderDate]])</f>
        <v>2023</v>
      </c>
      <c r="K248" s="2">
        <f>MONTH(Data[[#This Row],[OrderDate]])</f>
        <v>6</v>
      </c>
      <c r="M248" s="12">
        <v>1723</v>
      </c>
      <c r="N248" s="21">
        <f>MAX(Data[OrderDate])-_xlfn.MAXIFS(Data[OrderDate],Data[CustomerID],M248)</f>
        <v>673</v>
      </c>
      <c r="O248" s="22">
        <f>COUNTIFS(Data[CustomerID], M248)</f>
        <v>1</v>
      </c>
      <c r="P248" s="23">
        <f>SUMIFS(Data[Amount], Data[CustomerID], M248)</f>
        <v>419.89</v>
      </c>
    </row>
    <row r="249" spans="1:16" x14ac:dyDescent="0.25">
      <c r="A249">
        <v>1189</v>
      </c>
      <c r="B249">
        <v>764</v>
      </c>
      <c r="C249" s="1">
        <v>45079</v>
      </c>
      <c r="D249">
        <v>394.92</v>
      </c>
      <c r="E249" t="s">
        <v>9</v>
      </c>
      <c r="F249" t="s">
        <v>14</v>
      </c>
      <c r="G249">
        <f>COUNTIF(Data[CustomerID], Data[[#This Row],[CustomerID]])</f>
        <v>5</v>
      </c>
      <c r="H249" s="1" t="str">
        <f>TEXT(Data[OrderDate],"yyyy-mmm")</f>
        <v>2023-Jun</v>
      </c>
      <c r="I249">
        <f>IF(
   COUNTIFS(
      Data[CustomerID], Data[[#This Row],[CustomerID]],
      Data[OrderDate], "&lt;" &amp; EOMONTH(Data[[#This Row],[OrderDate]], -1) + 1
   ) &gt; 0,
   1,
   0
)</f>
        <v>1</v>
      </c>
      <c r="J249">
        <f>YEAR(Data[[#This Row],[OrderDate]])</f>
        <v>2023</v>
      </c>
      <c r="K249" s="2">
        <f>MONTH(Data[[#This Row],[OrderDate]])</f>
        <v>6</v>
      </c>
      <c r="M249" s="12">
        <v>1105</v>
      </c>
      <c r="N249" s="21">
        <f>MAX(Data[OrderDate])-_xlfn.MAXIFS(Data[OrderDate],Data[CustomerID],M249)</f>
        <v>329</v>
      </c>
      <c r="O249" s="22">
        <f>COUNTIFS(Data[CustomerID], M249)</f>
        <v>2</v>
      </c>
      <c r="P249" s="23">
        <f>SUMIFS(Data[Amount], Data[CustomerID], M249)</f>
        <v>419.49</v>
      </c>
    </row>
    <row r="250" spans="1:16" x14ac:dyDescent="0.25">
      <c r="A250">
        <v>1882</v>
      </c>
      <c r="B250">
        <v>990</v>
      </c>
      <c r="C250" s="1">
        <v>45079</v>
      </c>
      <c r="D250">
        <v>264.99</v>
      </c>
      <c r="E250" t="s">
        <v>9</v>
      </c>
      <c r="F250" t="s">
        <v>16</v>
      </c>
      <c r="G250">
        <f>COUNTIF(Data[CustomerID], Data[[#This Row],[CustomerID]])</f>
        <v>3</v>
      </c>
      <c r="H250" s="1" t="str">
        <f>TEXT(Data[OrderDate],"yyyy-mmm")</f>
        <v>2023-Jun</v>
      </c>
      <c r="I250">
        <f>IF(
   COUNTIFS(
      Data[CustomerID], Data[[#This Row],[CustomerID]],
      Data[OrderDate], "&lt;" &amp; EOMONTH(Data[[#This Row],[OrderDate]], -1) + 1
   ) &gt; 0,
   1,
   0
)</f>
        <v>1</v>
      </c>
      <c r="J250">
        <f>YEAR(Data[[#This Row],[OrderDate]])</f>
        <v>2023</v>
      </c>
      <c r="K250" s="2">
        <f>MONTH(Data[[#This Row],[OrderDate]])</f>
        <v>6</v>
      </c>
      <c r="M250" s="12">
        <v>1201</v>
      </c>
      <c r="N250" s="21">
        <f>MAX(Data[OrderDate])-_xlfn.MAXIFS(Data[OrderDate],Data[CustomerID],M250)</f>
        <v>607</v>
      </c>
      <c r="O250" s="22">
        <f>COUNTIFS(Data[CustomerID], M250)</f>
        <v>1</v>
      </c>
      <c r="P250" s="23">
        <f>SUMIFS(Data[Amount], Data[CustomerID], M250)</f>
        <v>418.82</v>
      </c>
    </row>
    <row r="251" spans="1:16" x14ac:dyDescent="0.25">
      <c r="A251">
        <v>1475</v>
      </c>
      <c r="B251">
        <v>44</v>
      </c>
      <c r="C251" s="1">
        <v>45080</v>
      </c>
      <c r="D251">
        <v>467.92</v>
      </c>
      <c r="E251" t="s">
        <v>8</v>
      </c>
      <c r="F251" t="s">
        <v>7</v>
      </c>
      <c r="G251">
        <f>COUNTIF(Data[CustomerID], Data[[#This Row],[CustomerID]])</f>
        <v>2</v>
      </c>
      <c r="H251" s="1" t="str">
        <f>TEXT(Data[OrderDate],"yyyy-mmm")</f>
        <v>2023-Jun</v>
      </c>
      <c r="I251">
        <f>IF(
   COUNTIFS(
      Data[CustomerID], Data[[#This Row],[CustomerID]],
      Data[OrderDate], "&lt;" &amp; EOMONTH(Data[[#This Row],[OrderDate]], -1) + 1
   ) &gt; 0,
   1,
   0
)</f>
        <v>0</v>
      </c>
      <c r="J251">
        <f>YEAR(Data[[#This Row],[OrderDate]])</f>
        <v>2023</v>
      </c>
      <c r="K251" s="2">
        <f>MONTH(Data[[#This Row],[OrderDate]])</f>
        <v>6</v>
      </c>
      <c r="M251" s="12">
        <v>1434</v>
      </c>
      <c r="N251" s="21">
        <f>MAX(Data[OrderDate])-_xlfn.MAXIFS(Data[OrderDate],Data[CustomerID],M251)</f>
        <v>222</v>
      </c>
      <c r="O251" s="22">
        <f>COUNTIFS(Data[CustomerID], M251)</f>
        <v>1</v>
      </c>
      <c r="P251" s="23">
        <f>SUMIFS(Data[Amount], Data[CustomerID], M251)</f>
        <v>417.18</v>
      </c>
    </row>
    <row r="252" spans="1:16" x14ac:dyDescent="0.25">
      <c r="A252">
        <v>1559</v>
      </c>
      <c r="B252">
        <v>624</v>
      </c>
      <c r="C252" s="1">
        <v>45080</v>
      </c>
      <c r="D252">
        <v>84.62</v>
      </c>
      <c r="E252" t="s">
        <v>11</v>
      </c>
      <c r="F252" t="s">
        <v>10</v>
      </c>
      <c r="G252">
        <f>COUNTIF(Data[CustomerID], Data[[#This Row],[CustomerID]])</f>
        <v>1</v>
      </c>
      <c r="H252" s="1" t="str">
        <f>TEXT(Data[OrderDate],"yyyy-mmm")</f>
        <v>2023-Jun</v>
      </c>
      <c r="I252">
        <f>IF(
   COUNTIFS(
      Data[CustomerID], Data[[#This Row],[CustomerID]],
      Data[OrderDate], "&lt;" &amp; EOMONTH(Data[[#This Row],[OrderDate]], -1) + 1
   ) &gt; 0,
   1,
   0
)</f>
        <v>0</v>
      </c>
      <c r="J252">
        <f>YEAR(Data[[#This Row],[OrderDate]])</f>
        <v>2023</v>
      </c>
      <c r="K252" s="2">
        <f>MONTH(Data[[#This Row],[OrderDate]])</f>
        <v>6</v>
      </c>
      <c r="M252" s="12">
        <v>1553</v>
      </c>
      <c r="N252" s="21">
        <f>MAX(Data[OrderDate])-_xlfn.MAXIFS(Data[OrderDate],Data[CustomerID],M252)</f>
        <v>105</v>
      </c>
      <c r="O252" s="22">
        <f>COUNTIFS(Data[CustomerID], M252)</f>
        <v>1</v>
      </c>
      <c r="P252" s="23">
        <f>SUMIFS(Data[Amount], Data[CustomerID], M252)</f>
        <v>416.28</v>
      </c>
    </row>
    <row r="253" spans="1:16" x14ac:dyDescent="0.25">
      <c r="A253">
        <v>1669</v>
      </c>
      <c r="B253">
        <v>439</v>
      </c>
      <c r="C253" s="1">
        <v>45082</v>
      </c>
      <c r="D253">
        <v>389.48</v>
      </c>
      <c r="E253" t="s">
        <v>17</v>
      </c>
      <c r="F253" t="s">
        <v>12</v>
      </c>
      <c r="G253">
        <f>COUNTIF(Data[CustomerID], Data[[#This Row],[CustomerID]])</f>
        <v>2</v>
      </c>
      <c r="H253" s="1" t="str">
        <f>TEXT(Data[OrderDate],"yyyy-mmm")</f>
        <v>2023-Jun</v>
      </c>
      <c r="I253">
        <f>IF(
   COUNTIFS(
      Data[CustomerID], Data[[#This Row],[CustomerID]],
      Data[OrderDate], "&lt;" &amp; EOMONTH(Data[[#This Row],[OrderDate]], -1) + 1
   ) &gt; 0,
   1,
   0
)</f>
        <v>1</v>
      </c>
      <c r="J253">
        <f>YEAR(Data[[#This Row],[OrderDate]])</f>
        <v>2023</v>
      </c>
      <c r="K253" s="2">
        <f>MONTH(Data[[#This Row],[OrderDate]])</f>
        <v>6</v>
      </c>
      <c r="M253" s="12">
        <v>1353</v>
      </c>
      <c r="N253" s="21">
        <f>MAX(Data[OrderDate])-_xlfn.MAXIFS(Data[OrderDate],Data[CustomerID],M253)</f>
        <v>148</v>
      </c>
      <c r="O253" s="22">
        <f>COUNTIFS(Data[CustomerID], M253)</f>
        <v>1</v>
      </c>
      <c r="P253" s="23">
        <f>SUMIFS(Data[Amount], Data[CustomerID], M253)</f>
        <v>416.11</v>
      </c>
    </row>
    <row r="254" spans="1:16" x14ac:dyDescent="0.25">
      <c r="A254">
        <v>1402</v>
      </c>
      <c r="B254">
        <v>334</v>
      </c>
      <c r="C254" s="1">
        <v>45083</v>
      </c>
      <c r="D254">
        <v>171.93</v>
      </c>
      <c r="E254" t="s">
        <v>11</v>
      </c>
      <c r="F254" t="s">
        <v>18</v>
      </c>
      <c r="G254">
        <f>COUNTIF(Data[CustomerID], Data[[#This Row],[CustomerID]])</f>
        <v>2</v>
      </c>
      <c r="H254" s="1" t="str">
        <f>TEXT(Data[OrderDate],"yyyy-mmm")</f>
        <v>2023-Jun</v>
      </c>
      <c r="I254">
        <f>IF(
   COUNTIFS(
      Data[CustomerID], Data[[#This Row],[CustomerID]],
      Data[OrderDate], "&lt;" &amp; EOMONTH(Data[[#This Row],[OrderDate]], -1) + 1
   ) &gt; 0,
   1,
   0
)</f>
        <v>1</v>
      </c>
      <c r="J254">
        <f>YEAR(Data[[#This Row],[OrderDate]])</f>
        <v>2023</v>
      </c>
      <c r="K254" s="2">
        <f>MONTH(Data[[#This Row],[OrderDate]])</f>
        <v>6</v>
      </c>
      <c r="M254" s="12">
        <v>1329</v>
      </c>
      <c r="N254" s="21">
        <f>MAX(Data[OrderDate])-_xlfn.MAXIFS(Data[OrderDate],Data[CustomerID],M254)</f>
        <v>241</v>
      </c>
      <c r="O254" s="22">
        <f>COUNTIFS(Data[CustomerID], M254)</f>
        <v>1</v>
      </c>
      <c r="P254" s="23">
        <f>SUMIFS(Data[Amount], Data[CustomerID], M254)</f>
        <v>413.89</v>
      </c>
    </row>
    <row r="255" spans="1:16" x14ac:dyDescent="0.25">
      <c r="A255">
        <v>1987</v>
      </c>
      <c r="B255">
        <v>352</v>
      </c>
      <c r="C255" s="1">
        <v>45083</v>
      </c>
      <c r="D255">
        <v>119.26</v>
      </c>
      <c r="E255" t="s">
        <v>15</v>
      </c>
      <c r="F255" t="s">
        <v>19</v>
      </c>
      <c r="G255">
        <f>COUNTIF(Data[CustomerID], Data[[#This Row],[CustomerID]])</f>
        <v>2</v>
      </c>
      <c r="H255" s="1" t="str">
        <f>TEXT(Data[OrderDate],"yyyy-mmm")</f>
        <v>2023-Jun</v>
      </c>
      <c r="I255">
        <f>IF(
   COUNTIFS(
      Data[CustomerID], Data[[#This Row],[CustomerID]],
      Data[OrderDate], "&lt;" &amp; EOMONTH(Data[[#This Row],[OrderDate]], -1) + 1
   ) &gt; 0,
   1,
   0
)</f>
        <v>0</v>
      </c>
      <c r="J255">
        <f>YEAR(Data[[#This Row],[OrderDate]])</f>
        <v>2023</v>
      </c>
      <c r="K255" s="2">
        <f>MONTH(Data[[#This Row],[OrderDate]])</f>
        <v>6</v>
      </c>
      <c r="M255" s="12">
        <v>1175</v>
      </c>
      <c r="N255" s="21">
        <f>MAX(Data[OrderDate])-_xlfn.MAXIFS(Data[OrderDate],Data[CustomerID],M255)</f>
        <v>152</v>
      </c>
      <c r="O255" s="22">
        <f>COUNTIFS(Data[CustomerID], M255)</f>
        <v>1</v>
      </c>
      <c r="P255" s="23">
        <f>SUMIFS(Data[Amount], Data[CustomerID], M255)</f>
        <v>413.44</v>
      </c>
    </row>
    <row r="256" spans="1:16" x14ac:dyDescent="0.25">
      <c r="A256">
        <v>1945</v>
      </c>
      <c r="B256">
        <v>355</v>
      </c>
      <c r="C256" s="1">
        <v>45083</v>
      </c>
      <c r="D256">
        <v>30.91</v>
      </c>
      <c r="E256" t="s">
        <v>11</v>
      </c>
      <c r="F256" t="s">
        <v>14</v>
      </c>
      <c r="G256">
        <f>COUNTIF(Data[CustomerID], Data[[#This Row],[CustomerID]])</f>
        <v>2</v>
      </c>
      <c r="H256" s="1" t="str">
        <f>TEXT(Data[OrderDate],"yyyy-mmm")</f>
        <v>2023-Jun</v>
      </c>
      <c r="I256">
        <f>IF(
   COUNTIFS(
      Data[CustomerID], Data[[#This Row],[CustomerID]],
      Data[OrderDate], "&lt;" &amp; EOMONTH(Data[[#This Row],[OrderDate]], -1) + 1
   ) &gt; 0,
   1,
   0
)</f>
        <v>0</v>
      </c>
      <c r="J256">
        <f>YEAR(Data[[#This Row],[OrderDate]])</f>
        <v>2023</v>
      </c>
      <c r="K256" s="2">
        <f>MONTH(Data[[#This Row],[OrderDate]])</f>
        <v>6</v>
      </c>
      <c r="M256" s="12">
        <v>1177</v>
      </c>
      <c r="N256" s="21">
        <f>MAX(Data[OrderDate])-_xlfn.MAXIFS(Data[OrderDate],Data[CustomerID],M256)</f>
        <v>176</v>
      </c>
      <c r="O256" s="22">
        <f>COUNTIFS(Data[CustomerID], M256)</f>
        <v>1</v>
      </c>
      <c r="P256" s="23">
        <f>SUMIFS(Data[Amount], Data[CustomerID], M256)</f>
        <v>413.14</v>
      </c>
    </row>
    <row r="257" spans="1:16" x14ac:dyDescent="0.25">
      <c r="A257">
        <v>1258</v>
      </c>
      <c r="B257">
        <v>943</v>
      </c>
      <c r="C257" s="1">
        <v>45083</v>
      </c>
      <c r="D257">
        <v>213.61</v>
      </c>
      <c r="E257" t="s">
        <v>9</v>
      </c>
      <c r="F257" t="s">
        <v>7</v>
      </c>
      <c r="G257">
        <f>COUNTIF(Data[CustomerID], Data[[#This Row],[CustomerID]])</f>
        <v>2</v>
      </c>
      <c r="H257" s="1" t="str">
        <f>TEXT(Data[OrderDate],"yyyy-mmm")</f>
        <v>2023-Jun</v>
      </c>
      <c r="I257">
        <f>IF(
   COUNTIFS(
      Data[CustomerID], Data[[#This Row],[CustomerID]],
      Data[OrderDate], "&lt;" &amp; EOMONTH(Data[[#This Row],[OrderDate]], -1) + 1
   ) &gt; 0,
   1,
   0
)</f>
        <v>0</v>
      </c>
      <c r="J257">
        <f>YEAR(Data[[#This Row],[OrderDate]])</f>
        <v>2023</v>
      </c>
      <c r="K257" s="2">
        <f>MONTH(Data[[#This Row],[OrderDate]])</f>
        <v>6</v>
      </c>
      <c r="M257" s="12">
        <v>1317</v>
      </c>
      <c r="N257" s="21">
        <f>MAX(Data[OrderDate])-_xlfn.MAXIFS(Data[OrderDate],Data[CustomerID],M257)</f>
        <v>561</v>
      </c>
      <c r="O257" s="22">
        <f>COUNTIFS(Data[CustomerID], M257)</f>
        <v>1</v>
      </c>
      <c r="P257" s="23">
        <f>SUMIFS(Data[Amount], Data[CustomerID], M257)</f>
        <v>412.08</v>
      </c>
    </row>
    <row r="258" spans="1:16" x14ac:dyDescent="0.25">
      <c r="A258">
        <v>1511</v>
      </c>
      <c r="B258">
        <v>542</v>
      </c>
      <c r="C258" s="1">
        <v>45084</v>
      </c>
      <c r="D258">
        <v>233.66</v>
      </c>
      <c r="E258" t="s">
        <v>20</v>
      </c>
      <c r="F258" t="s">
        <v>12</v>
      </c>
      <c r="G258">
        <f>COUNTIF(Data[CustomerID], Data[[#This Row],[CustomerID]])</f>
        <v>2</v>
      </c>
      <c r="H258" s="1" t="str">
        <f>TEXT(Data[OrderDate],"yyyy-mmm")</f>
        <v>2023-Jun</v>
      </c>
      <c r="I258">
        <f>IF(
   COUNTIFS(
      Data[CustomerID], Data[[#This Row],[CustomerID]],
      Data[OrderDate], "&lt;" &amp; EOMONTH(Data[[#This Row],[OrderDate]], -1) + 1
   ) &gt; 0,
   1,
   0
)</f>
        <v>1</v>
      </c>
      <c r="J258">
        <f>YEAR(Data[[#This Row],[OrderDate]])</f>
        <v>2023</v>
      </c>
      <c r="K258" s="2">
        <f>MONTH(Data[[#This Row],[OrderDate]])</f>
        <v>6</v>
      </c>
      <c r="M258" s="12">
        <v>1164</v>
      </c>
      <c r="N258" s="21">
        <f>MAX(Data[OrderDate])-_xlfn.MAXIFS(Data[OrderDate],Data[CustomerID],M258)</f>
        <v>355</v>
      </c>
      <c r="O258" s="22">
        <f>COUNTIFS(Data[CustomerID], M258)</f>
        <v>1</v>
      </c>
      <c r="P258" s="23">
        <f>SUMIFS(Data[Amount], Data[CustomerID], M258)</f>
        <v>411.09</v>
      </c>
    </row>
    <row r="259" spans="1:16" x14ac:dyDescent="0.25">
      <c r="A259">
        <v>1550</v>
      </c>
      <c r="B259">
        <v>347</v>
      </c>
      <c r="C259" s="1">
        <v>45085</v>
      </c>
      <c r="D259">
        <v>39.619999999999997</v>
      </c>
      <c r="E259" t="s">
        <v>13</v>
      </c>
      <c r="F259" t="s">
        <v>10</v>
      </c>
      <c r="G259">
        <f>COUNTIF(Data[CustomerID], Data[[#This Row],[CustomerID]])</f>
        <v>2</v>
      </c>
      <c r="H259" s="1" t="str">
        <f>TEXT(Data[OrderDate],"yyyy-mmm")</f>
        <v>2023-Jun</v>
      </c>
      <c r="I259">
        <f>IF(
   COUNTIFS(
      Data[CustomerID], Data[[#This Row],[CustomerID]],
      Data[OrderDate], "&lt;" &amp; EOMONTH(Data[[#This Row],[OrderDate]], -1) + 1
   ) &gt; 0,
   1,
   0
)</f>
        <v>0</v>
      </c>
      <c r="J259">
        <f>YEAR(Data[[#This Row],[OrderDate]])</f>
        <v>2023</v>
      </c>
      <c r="K259" s="2">
        <f>MONTH(Data[[#This Row],[OrderDate]])</f>
        <v>6</v>
      </c>
      <c r="M259" s="12">
        <v>1671</v>
      </c>
      <c r="N259" s="21">
        <f>MAX(Data[OrderDate])-_xlfn.MAXIFS(Data[OrderDate],Data[CustomerID],M259)</f>
        <v>532</v>
      </c>
      <c r="O259" s="22">
        <f>COUNTIFS(Data[CustomerID], M259)</f>
        <v>3</v>
      </c>
      <c r="P259" s="23">
        <f>SUMIFS(Data[Amount], Data[CustomerID], M259)</f>
        <v>411.02</v>
      </c>
    </row>
    <row r="260" spans="1:16" x14ac:dyDescent="0.25">
      <c r="A260">
        <v>1474</v>
      </c>
      <c r="B260">
        <v>694</v>
      </c>
      <c r="C260" s="1">
        <v>45085</v>
      </c>
      <c r="D260">
        <v>368.14</v>
      </c>
      <c r="E260" t="s">
        <v>13</v>
      </c>
      <c r="F260" t="s">
        <v>16</v>
      </c>
      <c r="G260">
        <f>COUNTIF(Data[CustomerID], Data[[#This Row],[CustomerID]])</f>
        <v>2</v>
      </c>
      <c r="H260" s="1" t="str">
        <f>TEXT(Data[OrderDate],"yyyy-mmm")</f>
        <v>2023-Jun</v>
      </c>
      <c r="I260">
        <f>IF(
   COUNTIFS(
      Data[CustomerID], Data[[#This Row],[CustomerID]],
      Data[OrderDate], "&lt;" &amp; EOMONTH(Data[[#This Row],[OrderDate]], -1) + 1
   ) &gt; 0,
   1,
   0
)</f>
        <v>0</v>
      </c>
      <c r="J260">
        <f>YEAR(Data[[#This Row],[OrderDate]])</f>
        <v>2023</v>
      </c>
      <c r="K260" s="2">
        <f>MONTH(Data[[#This Row],[OrderDate]])</f>
        <v>6</v>
      </c>
      <c r="M260" s="12">
        <v>1419</v>
      </c>
      <c r="N260" s="21">
        <f>MAX(Data[OrderDate])-_xlfn.MAXIFS(Data[OrderDate],Data[CustomerID],M260)</f>
        <v>238</v>
      </c>
      <c r="O260" s="22">
        <f>COUNTIFS(Data[CustomerID], M260)</f>
        <v>2</v>
      </c>
      <c r="P260" s="23">
        <f>SUMIFS(Data[Amount], Data[CustomerID], M260)</f>
        <v>410.85</v>
      </c>
    </row>
    <row r="261" spans="1:16" x14ac:dyDescent="0.25">
      <c r="A261">
        <v>1795</v>
      </c>
      <c r="B261">
        <v>795</v>
      </c>
      <c r="C261" s="1">
        <v>45086</v>
      </c>
      <c r="D261">
        <v>53.29</v>
      </c>
      <c r="E261" t="s">
        <v>17</v>
      </c>
      <c r="F261" t="s">
        <v>19</v>
      </c>
      <c r="G261">
        <f>COUNTIF(Data[CustomerID], Data[[#This Row],[CustomerID]])</f>
        <v>3</v>
      </c>
      <c r="H261" s="1" t="str">
        <f>TEXT(Data[OrderDate],"yyyy-mmm")</f>
        <v>2023-Jun</v>
      </c>
      <c r="I261">
        <f>IF(
   COUNTIFS(
      Data[CustomerID], Data[[#This Row],[CustomerID]],
      Data[OrderDate], "&lt;" &amp; EOMONTH(Data[[#This Row],[OrderDate]], -1) + 1
   ) &gt; 0,
   1,
   0
)</f>
        <v>0</v>
      </c>
      <c r="J261">
        <f>YEAR(Data[[#This Row],[OrderDate]])</f>
        <v>2023</v>
      </c>
      <c r="K261" s="2">
        <f>MONTH(Data[[#This Row],[OrderDate]])</f>
        <v>6</v>
      </c>
      <c r="M261" s="12">
        <v>1102</v>
      </c>
      <c r="N261" s="21">
        <f>MAX(Data[OrderDate])-_xlfn.MAXIFS(Data[OrderDate],Data[CustomerID],M261)</f>
        <v>413</v>
      </c>
      <c r="O261" s="22">
        <f>COUNTIFS(Data[CustomerID], M261)</f>
        <v>2</v>
      </c>
      <c r="P261" s="23">
        <f>SUMIFS(Data[Amount], Data[CustomerID], M261)</f>
        <v>410.58000000000004</v>
      </c>
    </row>
    <row r="262" spans="1:16" x14ac:dyDescent="0.25">
      <c r="A262">
        <v>1954</v>
      </c>
      <c r="B262">
        <v>433</v>
      </c>
      <c r="C262" s="1">
        <v>45087</v>
      </c>
      <c r="D262">
        <v>334.82</v>
      </c>
      <c r="E262" t="s">
        <v>20</v>
      </c>
      <c r="F262" t="s">
        <v>10</v>
      </c>
      <c r="G262">
        <f>COUNTIF(Data[CustomerID], Data[[#This Row],[CustomerID]])</f>
        <v>2</v>
      </c>
      <c r="H262" s="1" t="str">
        <f>TEXT(Data[OrderDate],"yyyy-mmm")</f>
        <v>2023-Jun</v>
      </c>
      <c r="I262">
        <f>IF(
   COUNTIFS(
      Data[CustomerID], Data[[#This Row],[CustomerID]],
      Data[OrderDate], "&lt;" &amp; EOMONTH(Data[[#This Row],[OrderDate]], -1) + 1
   ) &gt; 0,
   1,
   0
)</f>
        <v>0</v>
      </c>
      <c r="J262">
        <f>YEAR(Data[[#This Row],[OrderDate]])</f>
        <v>2023</v>
      </c>
      <c r="K262" s="2">
        <f>MONTH(Data[[#This Row],[OrderDate]])</f>
        <v>6</v>
      </c>
      <c r="M262" s="12">
        <v>1851</v>
      </c>
      <c r="N262" s="21">
        <f>MAX(Data[OrderDate])-_xlfn.MAXIFS(Data[OrderDate],Data[CustomerID],M262)</f>
        <v>293</v>
      </c>
      <c r="O262" s="22">
        <f>COUNTIFS(Data[CustomerID], M262)</f>
        <v>2</v>
      </c>
      <c r="P262" s="23">
        <f>SUMIFS(Data[Amount], Data[CustomerID], M262)</f>
        <v>410.53</v>
      </c>
    </row>
    <row r="263" spans="1:16" x14ac:dyDescent="0.25">
      <c r="A263">
        <v>1576</v>
      </c>
      <c r="B263">
        <v>709</v>
      </c>
      <c r="C263" s="1">
        <v>45087</v>
      </c>
      <c r="D263">
        <v>351.62</v>
      </c>
      <c r="E263" t="s">
        <v>17</v>
      </c>
      <c r="F263" t="s">
        <v>14</v>
      </c>
      <c r="G263">
        <f>COUNTIF(Data[CustomerID], Data[[#This Row],[CustomerID]])</f>
        <v>1</v>
      </c>
      <c r="H263" s="1" t="str">
        <f>TEXT(Data[OrderDate],"yyyy-mmm")</f>
        <v>2023-Jun</v>
      </c>
      <c r="I263">
        <f>IF(
   COUNTIFS(
      Data[CustomerID], Data[[#This Row],[CustomerID]],
      Data[OrderDate], "&lt;" &amp; EOMONTH(Data[[#This Row],[OrderDate]], -1) + 1
   ) &gt; 0,
   1,
   0
)</f>
        <v>0</v>
      </c>
      <c r="J263">
        <f>YEAR(Data[[#This Row],[OrderDate]])</f>
        <v>2023</v>
      </c>
      <c r="K263" s="2">
        <f>MONTH(Data[[#This Row],[OrderDate]])</f>
        <v>6</v>
      </c>
      <c r="M263" s="12">
        <v>1641</v>
      </c>
      <c r="N263" s="21">
        <f>MAX(Data[OrderDate])-_xlfn.MAXIFS(Data[OrderDate],Data[CustomerID],M263)</f>
        <v>128</v>
      </c>
      <c r="O263" s="22">
        <f>COUNTIFS(Data[CustomerID], M263)</f>
        <v>1</v>
      </c>
      <c r="P263" s="23">
        <f>SUMIFS(Data[Amount], Data[CustomerID], M263)</f>
        <v>408.8</v>
      </c>
    </row>
    <row r="264" spans="1:16" x14ac:dyDescent="0.25">
      <c r="A264">
        <v>1606</v>
      </c>
      <c r="B264">
        <v>482</v>
      </c>
      <c r="C264" s="1">
        <v>45088</v>
      </c>
      <c r="D264">
        <v>482.09</v>
      </c>
      <c r="E264" t="s">
        <v>9</v>
      </c>
      <c r="F264" t="s">
        <v>10</v>
      </c>
      <c r="G264">
        <f>COUNTIF(Data[CustomerID], Data[[#This Row],[CustomerID]])</f>
        <v>2</v>
      </c>
      <c r="H264" s="1" t="str">
        <f>TEXT(Data[OrderDate],"yyyy-mmm")</f>
        <v>2023-Jun</v>
      </c>
      <c r="I264">
        <f>IF(
   COUNTIFS(
      Data[CustomerID], Data[[#This Row],[CustomerID]],
      Data[OrderDate], "&lt;" &amp; EOMONTH(Data[[#This Row],[OrderDate]], -1) + 1
   ) &gt; 0,
   1,
   0
)</f>
        <v>0</v>
      </c>
      <c r="J264">
        <f>YEAR(Data[[#This Row],[OrderDate]])</f>
        <v>2023</v>
      </c>
      <c r="K264" s="2">
        <f>MONTH(Data[[#This Row],[OrderDate]])</f>
        <v>6</v>
      </c>
      <c r="M264" s="12">
        <v>1709</v>
      </c>
      <c r="N264" s="21">
        <f>MAX(Data[OrderDate])-_xlfn.MAXIFS(Data[OrderDate],Data[CustomerID],M264)</f>
        <v>298</v>
      </c>
      <c r="O264" s="22">
        <f>COUNTIFS(Data[CustomerID], M264)</f>
        <v>2</v>
      </c>
      <c r="P264" s="23">
        <f>SUMIFS(Data[Amount], Data[CustomerID], M264)</f>
        <v>408.5</v>
      </c>
    </row>
    <row r="265" spans="1:16" x14ac:dyDescent="0.25">
      <c r="A265">
        <v>1697</v>
      </c>
      <c r="B265">
        <v>964</v>
      </c>
      <c r="C265" s="1">
        <v>45088</v>
      </c>
      <c r="D265">
        <v>285.75</v>
      </c>
      <c r="E265" t="s">
        <v>8</v>
      </c>
      <c r="F265" t="s">
        <v>18</v>
      </c>
      <c r="G265">
        <f>COUNTIF(Data[CustomerID], Data[[#This Row],[CustomerID]])</f>
        <v>2</v>
      </c>
      <c r="H265" s="1" t="str">
        <f>TEXT(Data[OrderDate],"yyyy-mmm")</f>
        <v>2023-Jun</v>
      </c>
      <c r="I265">
        <f>IF(
   COUNTIFS(
      Data[CustomerID], Data[[#This Row],[CustomerID]],
      Data[OrderDate], "&lt;" &amp; EOMONTH(Data[[#This Row],[OrderDate]], -1) + 1
   ) &gt; 0,
   1,
   0
)</f>
        <v>1</v>
      </c>
      <c r="J265">
        <f>YEAR(Data[[#This Row],[OrderDate]])</f>
        <v>2023</v>
      </c>
      <c r="K265" s="2">
        <f>MONTH(Data[[#This Row],[OrderDate]])</f>
        <v>6</v>
      </c>
      <c r="M265" s="12">
        <v>1580</v>
      </c>
      <c r="N265" s="21">
        <f>MAX(Data[OrderDate])-_xlfn.MAXIFS(Data[OrderDate],Data[CustomerID],M265)</f>
        <v>675</v>
      </c>
      <c r="O265" s="22">
        <f>COUNTIFS(Data[CustomerID], M265)</f>
        <v>1</v>
      </c>
      <c r="P265" s="23">
        <f>SUMIFS(Data[Amount], Data[CustomerID], M265)</f>
        <v>408.48</v>
      </c>
    </row>
    <row r="266" spans="1:16" x14ac:dyDescent="0.25">
      <c r="A266">
        <v>1315</v>
      </c>
      <c r="B266">
        <v>965</v>
      </c>
      <c r="C266" s="1">
        <v>45089</v>
      </c>
      <c r="D266">
        <v>145.5</v>
      </c>
      <c r="E266" t="s">
        <v>17</v>
      </c>
      <c r="F266" t="s">
        <v>14</v>
      </c>
      <c r="G266">
        <f>COUNTIF(Data[CustomerID], Data[[#This Row],[CustomerID]])</f>
        <v>2</v>
      </c>
      <c r="H266" s="1" t="str">
        <f>TEXT(Data[OrderDate],"yyyy-mmm")</f>
        <v>2023-Jun</v>
      </c>
      <c r="I266">
        <f>IF(
   COUNTIFS(
      Data[CustomerID], Data[[#This Row],[CustomerID]],
      Data[OrderDate], "&lt;" &amp; EOMONTH(Data[[#This Row],[OrderDate]], -1) + 1
   ) &gt; 0,
   1,
   0
)</f>
        <v>0</v>
      </c>
      <c r="J266">
        <f>YEAR(Data[[#This Row],[OrderDate]])</f>
        <v>2023</v>
      </c>
      <c r="K266" s="2">
        <f>MONTH(Data[[#This Row],[OrderDate]])</f>
        <v>6</v>
      </c>
      <c r="M266" s="12">
        <v>1487</v>
      </c>
      <c r="N266" s="21">
        <f>MAX(Data[OrderDate])-_xlfn.MAXIFS(Data[OrderDate],Data[CustomerID],M266)</f>
        <v>199</v>
      </c>
      <c r="O266" s="22">
        <f>COUNTIFS(Data[CustomerID], M266)</f>
        <v>1</v>
      </c>
      <c r="P266" s="23">
        <f>SUMIFS(Data[Amount], Data[CustomerID], M266)</f>
        <v>406.82</v>
      </c>
    </row>
    <row r="267" spans="1:16" x14ac:dyDescent="0.25">
      <c r="A267">
        <v>1735</v>
      </c>
      <c r="B267">
        <v>291</v>
      </c>
      <c r="C267" s="1">
        <v>45091</v>
      </c>
      <c r="D267">
        <v>320.8</v>
      </c>
      <c r="E267" t="s">
        <v>15</v>
      </c>
      <c r="F267" t="s">
        <v>14</v>
      </c>
      <c r="G267">
        <f>COUNTIF(Data[CustomerID], Data[[#This Row],[CustomerID]])</f>
        <v>3</v>
      </c>
      <c r="H267" s="1" t="str">
        <f>TEXT(Data[OrderDate],"yyyy-mmm")</f>
        <v>2023-Jun</v>
      </c>
      <c r="I267">
        <f>IF(
   COUNTIFS(
      Data[CustomerID], Data[[#This Row],[CustomerID]],
      Data[OrderDate], "&lt;" &amp; EOMONTH(Data[[#This Row],[OrderDate]], -1) + 1
   ) &gt; 0,
   1,
   0
)</f>
        <v>0</v>
      </c>
      <c r="J267">
        <f>YEAR(Data[[#This Row],[OrderDate]])</f>
        <v>2023</v>
      </c>
      <c r="K267" s="2">
        <f>MONTH(Data[[#This Row],[OrderDate]])</f>
        <v>6</v>
      </c>
      <c r="M267" s="12">
        <v>1784</v>
      </c>
      <c r="N267" s="21">
        <f>MAX(Data[OrderDate])-_xlfn.MAXIFS(Data[OrderDate],Data[CustomerID],M267)</f>
        <v>27</v>
      </c>
      <c r="O267" s="22">
        <f>COUNTIFS(Data[CustomerID], M267)</f>
        <v>1</v>
      </c>
      <c r="P267" s="23">
        <f>SUMIFS(Data[Amount], Data[CustomerID], M267)</f>
        <v>405.4</v>
      </c>
    </row>
    <row r="268" spans="1:16" x14ac:dyDescent="0.25">
      <c r="A268">
        <v>1638</v>
      </c>
      <c r="B268">
        <v>511</v>
      </c>
      <c r="C268" s="1">
        <v>45091</v>
      </c>
      <c r="D268">
        <v>478.33</v>
      </c>
      <c r="E268" t="s">
        <v>8</v>
      </c>
      <c r="F268" t="s">
        <v>16</v>
      </c>
      <c r="G268">
        <f>COUNTIF(Data[CustomerID], Data[[#This Row],[CustomerID]])</f>
        <v>1</v>
      </c>
      <c r="H268" s="1" t="str">
        <f>TEXT(Data[OrderDate],"yyyy-mmm")</f>
        <v>2023-Jun</v>
      </c>
      <c r="I268">
        <f>IF(
   COUNTIFS(
      Data[CustomerID], Data[[#This Row],[CustomerID]],
      Data[OrderDate], "&lt;" &amp; EOMONTH(Data[[#This Row],[OrderDate]], -1) + 1
   ) &gt; 0,
   1,
   0
)</f>
        <v>0</v>
      </c>
      <c r="J268">
        <f>YEAR(Data[[#This Row],[OrderDate]])</f>
        <v>2023</v>
      </c>
      <c r="K268" s="2">
        <f>MONTH(Data[[#This Row],[OrderDate]])</f>
        <v>6</v>
      </c>
      <c r="M268" s="12">
        <v>1142</v>
      </c>
      <c r="N268" s="21">
        <f>MAX(Data[OrderDate])-_xlfn.MAXIFS(Data[OrderDate],Data[CustomerID],M268)</f>
        <v>174</v>
      </c>
      <c r="O268" s="22">
        <f>COUNTIFS(Data[CustomerID], M268)</f>
        <v>2</v>
      </c>
      <c r="P268" s="23">
        <f>SUMIFS(Data[Amount], Data[CustomerID], M268)</f>
        <v>402.9</v>
      </c>
    </row>
    <row r="269" spans="1:16" x14ac:dyDescent="0.25">
      <c r="A269">
        <v>1776</v>
      </c>
      <c r="B269">
        <v>71</v>
      </c>
      <c r="C269" s="1">
        <v>45092</v>
      </c>
      <c r="D269">
        <v>328.37</v>
      </c>
      <c r="E269" t="s">
        <v>15</v>
      </c>
      <c r="F269" t="s">
        <v>19</v>
      </c>
      <c r="G269">
        <f>COUNTIF(Data[CustomerID], Data[[#This Row],[CustomerID]])</f>
        <v>1</v>
      </c>
      <c r="H269" s="1" t="str">
        <f>TEXT(Data[OrderDate],"yyyy-mmm")</f>
        <v>2023-Jun</v>
      </c>
      <c r="I269">
        <f>IF(
   COUNTIFS(
      Data[CustomerID], Data[[#This Row],[CustomerID]],
      Data[OrderDate], "&lt;" &amp; EOMONTH(Data[[#This Row],[OrderDate]], -1) + 1
   ) &gt; 0,
   1,
   0
)</f>
        <v>0</v>
      </c>
      <c r="J269">
        <f>YEAR(Data[[#This Row],[OrderDate]])</f>
        <v>2023</v>
      </c>
      <c r="K269" s="2">
        <f>MONTH(Data[[#This Row],[OrderDate]])</f>
        <v>6</v>
      </c>
      <c r="M269" s="12">
        <v>1856</v>
      </c>
      <c r="N269" s="21">
        <f>MAX(Data[OrderDate])-_xlfn.MAXIFS(Data[OrderDate],Data[CustomerID],M269)</f>
        <v>212</v>
      </c>
      <c r="O269" s="22">
        <f>COUNTIFS(Data[CustomerID], M269)</f>
        <v>2</v>
      </c>
      <c r="P269" s="23">
        <f>SUMIFS(Data[Amount], Data[CustomerID], M269)</f>
        <v>402.84000000000003</v>
      </c>
    </row>
    <row r="270" spans="1:16" x14ac:dyDescent="0.25">
      <c r="A270">
        <v>1671</v>
      </c>
      <c r="B270">
        <v>263</v>
      </c>
      <c r="C270" s="1">
        <v>45094</v>
      </c>
      <c r="D270">
        <v>87.33</v>
      </c>
      <c r="E270" t="s">
        <v>20</v>
      </c>
      <c r="F270" t="s">
        <v>19</v>
      </c>
      <c r="G270">
        <f>COUNTIF(Data[CustomerID], Data[[#This Row],[CustomerID]])</f>
        <v>3</v>
      </c>
      <c r="H270" s="1" t="str">
        <f>TEXT(Data[OrderDate],"yyyy-mmm")</f>
        <v>2023-Jun</v>
      </c>
      <c r="I270">
        <f>IF(
   COUNTIFS(
      Data[CustomerID], Data[[#This Row],[CustomerID]],
      Data[OrderDate], "&lt;" &amp; EOMONTH(Data[[#This Row],[OrderDate]], -1) + 1
   ) &gt; 0,
   1,
   0
)</f>
        <v>1</v>
      </c>
      <c r="J270">
        <f>YEAR(Data[[#This Row],[OrderDate]])</f>
        <v>2023</v>
      </c>
      <c r="K270" s="2">
        <f>MONTH(Data[[#This Row],[OrderDate]])</f>
        <v>6</v>
      </c>
      <c r="M270" s="12">
        <v>1119</v>
      </c>
      <c r="N270" s="21">
        <f>MAX(Data[OrderDate])-_xlfn.MAXIFS(Data[OrderDate],Data[CustomerID],M270)</f>
        <v>567</v>
      </c>
      <c r="O270" s="22">
        <f>COUNTIFS(Data[CustomerID], M270)</f>
        <v>2</v>
      </c>
      <c r="P270" s="23">
        <f>SUMIFS(Data[Amount], Data[CustomerID], M270)</f>
        <v>400.59</v>
      </c>
    </row>
    <row r="271" spans="1:16" x14ac:dyDescent="0.25">
      <c r="A271">
        <v>1773</v>
      </c>
      <c r="B271">
        <v>582</v>
      </c>
      <c r="C271" s="1">
        <v>45094</v>
      </c>
      <c r="D271">
        <v>197.38</v>
      </c>
      <c r="E271" t="s">
        <v>9</v>
      </c>
      <c r="F271" t="s">
        <v>12</v>
      </c>
      <c r="G271">
        <f>COUNTIF(Data[CustomerID], Data[[#This Row],[CustomerID]])</f>
        <v>1</v>
      </c>
      <c r="H271" s="1" t="str">
        <f>TEXT(Data[OrderDate],"yyyy-mmm")</f>
        <v>2023-Jun</v>
      </c>
      <c r="I271">
        <f>IF(
   COUNTIFS(
      Data[CustomerID], Data[[#This Row],[CustomerID]],
      Data[OrderDate], "&lt;" &amp; EOMONTH(Data[[#This Row],[OrderDate]], -1) + 1
   ) &gt; 0,
   1,
   0
)</f>
        <v>0</v>
      </c>
      <c r="J271">
        <f>YEAR(Data[[#This Row],[OrderDate]])</f>
        <v>2023</v>
      </c>
      <c r="K271" s="2">
        <f>MONTH(Data[[#This Row],[OrderDate]])</f>
        <v>6</v>
      </c>
      <c r="M271" s="12">
        <v>1338</v>
      </c>
      <c r="N271" s="21">
        <f>MAX(Data[OrderDate])-_xlfn.MAXIFS(Data[OrderDate],Data[CustomerID],M271)</f>
        <v>530</v>
      </c>
      <c r="O271" s="22">
        <f>COUNTIFS(Data[CustomerID], M271)</f>
        <v>1</v>
      </c>
      <c r="P271" s="23">
        <f>SUMIFS(Data[Amount], Data[CustomerID], M271)</f>
        <v>400.3</v>
      </c>
    </row>
    <row r="272" spans="1:16" x14ac:dyDescent="0.25">
      <c r="A272">
        <v>1169</v>
      </c>
      <c r="B272">
        <v>846</v>
      </c>
      <c r="C272" s="1">
        <v>45094</v>
      </c>
      <c r="D272">
        <v>184.73</v>
      </c>
      <c r="E272" t="s">
        <v>15</v>
      </c>
      <c r="F272" t="s">
        <v>12</v>
      </c>
      <c r="G272">
        <f>COUNTIF(Data[CustomerID], Data[[#This Row],[CustomerID]])</f>
        <v>1</v>
      </c>
      <c r="H272" s="1" t="str">
        <f>TEXT(Data[OrderDate],"yyyy-mmm")</f>
        <v>2023-Jun</v>
      </c>
      <c r="I272">
        <f>IF(
   COUNTIFS(
      Data[CustomerID], Data[[#This Row],[CustomerID]],
      Data[OrderDate], "&lt;" &amp; EOMONTH(Data[[#This Row],[OrderDate]], -1) + 1
   ) &gt; 0,
   1,
   0
)</f>
        <v>0</v>
      </c>
      <c r="J272">
        <f>YEAR(Data[[#This Row],[OrderDate]])</f>
        <v>2023</v>
      </c>
      <c r="K272" s="2">
        <f>MONTH(Data[[#This Row],[OrderDate]])</f>
        <v>6</v>
      </c>
      <c r="M272" s="12">
        <v>1998</v>
      </c>
      <c r="N272" s="21">
        <f>MAX(Data[OrderDate])-_xlfn.MAXIFS(Data[OrderDate],Data[CustomerID],M272)</f>
        <v>356</v>
      </c>
      <c r="O272" s="22">
        <f>COUNTIFS(Data[CustomerID], M272)</f>
        <v>2</v>
      </c>
      <c r="P272" s="23">
        <f>SUMIFS(Data[Amount], Data[CustomerID], M272)</f>
        <v>398.84000000000003</v>
      </c>
    </row>
    <row r="273" spans="1:16" x14ac:dyDescent="0.25">
      <c r="A273">
        <v>1396</v>
      </c>
      <c r="B273">
        <v>716</v>
      </c>
      <c r="C273" s="1">
        <v>45096</v>
      </c>
      <c r="D273">
        <v>427.1</v>
      </c>
      <c r="E273" t="s">
        <v>9</v>
      </c>
      <c r="F273" t="s">
        <v>18</v>
      </c>
      <c r="G273">
        <f>COUNTIF(Data[CustomerID], Data[[#This Row],[CustomerID]])</f>
        <v>2</v>
      </c>
      <c r="H273" s="1" t="str">
        <f>TEXT(Data[OrderDate],"yyyy-mmm")</f>
        <v>2023-Jun</v>
      </c>
      <c r="I273">
        <f>IF(
   COUNTIFS(
      Data[CustomerID], Data[[#This Row],[CustomerID]],
      Data[OrderDate], "&lt;" &amp; EOMONTH(Data[[#This Row],[OrderDate]], -1) + 1
   ) &gt; 0,
   1,
   0
)</f>
        <v>0</v>
      </c>
      <c r="J273">
        <f>YEAR(Data[[#This Row],[OrderDate]])</f>
        <v>2023</v>
      </c>
      <c r="K273" s="2">
        <f>MONTH(Data[[#This Row],[OrderDate]])</f>
        <v>6</v>
      </c>
      <c r="M273" s="12">
        <v>1951</v>
      </c>
      <c r="N273" s="21">
        <f>MAX(Data[OrderDate])-_xlfn.MAXIFS(Data[OrderDate],Data[CustomerID],M273)</f>
        <v>112</v>
      </c>
      <c r="O273" s="22">
        <f>COUNTIFS(Data[CustomerID], M273)</f>
        <v>1</v>
      </c>
      <c r="P273" s="23">
        <f>SUMIFS(Data[Amount], Data[CustomerID], M273)</f>
        <v>397.74</v>
      </c>
    </row>
    <row r="274" spans="1:16" x14ac:dyDescent="0.25">
      <c r="A274">
        <v>1890</v>
      </c>
      <c r="B274">
        <v>810</v>
      </c>
      <c r="C274" s="1">
        <v>45096</v>
      </c>
      <c r="D274">
        <v>378.28</v>
      </c>
      <c r="E274" t="s">
        <v>15</v>
      </c>
      <c r="F274" t="s">
        <v>14</v>
      </c>
      <c r="G274">
        <f>COUNTIF(Data[CustomerID], Data[[#This Row],[CustomerID]])</f>
        <v>1</v>
      </c>
      <c r="H274" s="1" t="str">
        <f>TEXT(Data[OrderDate],"yyyy-mmm")</f>
        <v>2023-Jun</v>
      </c>
      <c r="I274">
        <f>IF(
   COUNTIFS(
      Data[CustomerID], Data[[#This Row],[CustomerID]],
      Data[OrderDate], "&lt;" &amp; EOMONTH(Data[[#This Row],[OrderDate]], -1) + 1
   ) &gt; 0,
   1,
   0
)</f>
        <v>0</v>
      </c>
      <c r="J274">
        <f>YEAR(Data[[#This Row],[OrderDate]])</f>
        <v>2023</v>
      </c>
      <c r="K274" s="2">
        <f>MONTH(Data[[#This Row],[OrderDate]])</f>
        <v>6</v>
      </c>
      <c r="M274" s="12">
        <v>1176</v>
      </c>
      <c r="N274" s="21">
        <f>MAX(Data[OrderDate])-_xlfn.MAXIFS(Data[OrderDate],Data[CustomerID],M274)</f>
        <v>680</v>
      </c>
      <c r="O274" s="22">
        <f>COUNTIFS(Data[CustomerID], M274)</f>
        <v>1</v>
      </c>
      <c r="P274" s="23">
        <f>SUMIFS(Data[Amount], Data[CustomerID], M274)</f>
        <v>396.89</v>
      </c>
    </row>
    <row r="275" spans="1:16" x14ac:dyDescent="0.25">
      <c r="A275">
        <v>1338</v>
      </c>
      <c r="B275">
        <v>856</v>
      </c>
      <c r="C275" s="1">
        <v>45096</v>
      </c>
      <c r="D275">
        <v>400.3</v>
      </c>
      <c r="E275" t="s">
        <v>20</v>
      </c>
      <c r="F275" t="s">
        <v>18</v>
      </c>
      <c r="G275">
        <f>COUNTIF(Data[CustomerID], Data[[#This Row],[CustomerID]])</f>
        <v>1</v>
      </c>
      <c r="H275" s="1" t="str">
        <f>TEXT(Data[OrderDate],"yyyy-mmm")</f>
        <v>2023-Jun</v>
      </c>
      <c r="I275">
        <f>IF(
   COUNTIFS(
      Data[CustomerID], Data[[#This Row],[CustomerID]],
      Data[OrderDate], "&lt;" &amp; EOMONTH(Data[[#This Row],[OrderDate]], -1) + 1
   ) &gt; 0,
   1,
   0
)</f>
        <v>0</v>
      </c>
      <c r="J275">
        <f>YEAR(Data[[#This Row],[OrderDate]])</f>
        <v>2023</v>
      </c>
      <c r="K275" s="2">
        <f>MONTH(Data[[#This Row],[OrderDate]])</f>
        <v>6</v>
      </c>
      <c r="M275" s="12">
        <v>1885</v>
      </c>
      <c r="N275" s="21">
        <f>MAX(Data[OrderDate])-_xlfn.MAXIFS(Data[OrderDate],Data[CustomerID],M275)</f>
        <v>24</v>
      </c>
      <c r="O275" s="22">
        <f>COUNTIFS(Data[CustomerID], M275)</f>
        <v>2</v>
      </c>
      <c r="P275" s="23">
        <f>SUMIFS(Data[Amount], Data[CustomerID], M275)</f>
        <v>396.67</v>
      </c>
    </row>
    <row r="276" spans="1:16" x14ac:dyDescent="0.25">
      <c r="A276">
        <v>1379</v>
      </c>
      <c r="B276">
        <v>700</v>
      </c>
      <c r="C276" s="1">
        <v>45097</v>
      </c>
      <c r="D276">
        <v>344.53</v>
      </c>
      <c r="E276" t="s">
        <v>17</v>
      </c>
      <c r="F276" t="s">
        <v>16</v>
      </c>
      <c r="G276">
        <f>COUNTIF(Data[CustomerID], Data[[#This Row],[CustomerID]])</f>
        <v>2</v>
      </c>
      <c r="H276" s="1" t="str">
        <f>TEXT(Data[OrderDate],"yyyy-mmm")</f>
        <v>2023-Jun</v>
      </c>
      <c r="I276">
        <f>IF(
   COUNTIFS(
      Data[CustomerID], Data[[#This Row],[CustomerID]],
      Data[OrderDate], "&lt;" &amp; EOMONTH(Data[[#This Row],[OrderDate]], -1) + 1
   ) &gt; 0,
   1,
   0
)</f>
        <v>0</v>
      </c>
      <c r="J276">
        <f>YEAR(Data[[#This Row],[OrderDate]])</f>
        <v>2023</v>
      </c>
      <c r="K276" s="2">
        <f>MONTH(Data[[#This Row],[OrderDate]])</f>
        <v>6</v>
      </c>
      <c r="M276" s="12">
        <v>1115</v>
      </c>
      <c r="N276" s="21">
        <f>MAX(Data[OrderDate])-_xlfn.MAXIFS(Data[OrderDate],Data[CustomerID],M276)</f>
        <v>224</v>
      </c>
      <c r="O276" s="22">
        <f>COUNTIFS(Data[CustomerID], M276)</f>
        <v>1</v>
      </c>
      <c r="P276" s="23">
        <f>SUMIFS(Data[Amount], Data[CustomerID], M276)</f>
        <v>396.22</v>
      </c>
    </row>
    <row r="277" spans="1:16" x14ac:dyDescent="0.25">
      <c r="A277">
        <v>1826</v>
      </c>
      <c r="B277">
        <v>261</v>
      </c>
      <c r="C277" s="1">
        <v>45098</v>
      </c>
      <c r="D277">
        <v>242.2</v>
      </c>
      <c r="E277" t="s">
        <v>9</v>
      </c>
      <c r="F277" t="s">
        <v>14</v>
      </c>
      <c r="G277">
        <f>COUNTIF(Data[CustomerID], Data[[#This Row],[CustomerID]])</f>
        <v>1</v>
      </c>
      <c r="H277" s="1" t="str">
        <f>TEXT(Data[OrderDate],"yyyy-mmm")</f>
        <v>2023-Jun</v>
      </c>
      <c r="I277">
        <f>IF(
   COUNTIFS(
      Data[CustomerID], Data[[#This Row],[CustomerID]],
      Data[OrderDate], "&lt;" &amp; EOMONTH(Data[[#This Row],[OrderDate]], -1) + 1
   ) &gt; 0,
   1,
   0
)</f>
        <v>0</v>
      </c>
      <c r="J277">
        <f>YEAR(Data[[#This Row],[OrderDate]])</f>
        <v>2023</v>
      </c>
      <c r="K277" s="2">
        <f>MONTH(Data[[#This Row],[OrderDate]])</f>
        <v>6</v>
      </c>
      <c r="M277" s="12">
        <v>1924</v>
      </c>
      <c r="N277" s="21">
        <f>MAX(Data[OrderDate])-_xlfn.MAXIFS(Data[OrderDate],Data[CustomerID],M277)</f>
        <v>313</v>
      </c>
      <c r="O277" s="22">
        <f>COUNTIFS(Data[CustomerID], M277)</f>
        <v>1</v>
      </c>
      <c r="P277" s="23">
        <f>SUMIFS(Data[Amount], Data[CustomerID], M277)</f>
        <v>395.63</v>
      </c>
    </row>
    <row r="278" spans="1:16" x14ac:dyDescent="0.25">
      <c r="A278">
        <v>1153</v>
      </c>
      <c r="B278">
        <v>641</v>
      </c>
      <c r="C278" s="1">
        <v>45098</v>
      </c>
      <c r="D278">
        <v>424.78</v>
      </c>
      <c r="E278" t="s">
        <v>20</v>
      </c>
      <c r="F278" t="s">
        <v>14</v>
      </c>
      <c r="G278">
        <f>COUNTIF(Data[CustomerID], Data[[#This Row],[CustomerID]])</f>
        <v>1</v>
      </c>
      <c r="H278" s="1" t="str">
        <f>TEXT(Data[OrderDate],"yyyy-mmm")</f>
        <v>2023-Jun</v>
      </c>
      <c r="I278">
        <f>IF(
   COUNTIFS(
      Data[CustomerID], Data[[#This Row],[CustomerID]],
      Data[OrderDate], "&lt;" &amp; EOMONTH(Data[[#This Row],[OrderDate]], -1) + 1
   ) &gt; 0,
   1,
   0
)</f>
        <v>0</v>
      </c>
      <c r="J278">
        <f>YEAR(Data[[#This Row],[OrderDate]])</f>
        <v>2023</v>
      </c>
      <c r="K278" s="2">
        <f>MONTH(Data[[#This Row],[OrderDate]])</f>
        <v>6</v>
      </c>
      <c r="M278" s="12">
        <v>1151</v>
      </c>
      <c r="N278" s="21">
        <f>MAX(Data[OrderDate])-_xlfn.MAXIFS(Data[OrderDate],Data[CustomerID],M278)</f>
        <v>344</v>
      </c>
      <c r="O278" s="22">
        <f>COUNTIFS(Data[CustomerID], M278)</f>
        <v>1</v>
      </c>
      <c r="P278" s="23">
        <f>SUMIFS(Data[Amount], Data[CustomerID], M278)</f>
        <v>395.01</v>
      </c>
    </row>
    <row r="279" spans="1:16" x14ac:dyDescent="0.25">
      <c r="A279">
        <v>1189</v>
      </c>
      <c r="B279">
        <v>237</v>
      </c>
      <c r="C279" s="1">
        <v>45099</v>
      </c>
      <c r="D279">
        <v>252.72</v>
      </c>
      <c r="E279" t="s">
        <v>15</v>
      </c>
      <c r="F279" t="s">
        <v>10</v>
      </c>
      <c r="G279">
        <f>COUNTIF(Data[CustomerID], Data[[#This Row],[CustomerID]])</f>
        <v>5</v>
      </c>
      <c r="H279" s="1" t="str">
        <f>TEXT(Data[OrderDate],"yyyy-mmm")</f>
        <v>2023-Jun</v>
      </c>
      <c r="I279">
        <f>IF(
   COUNTIFS(
      Data[CustomerID], Data[[#This Row],[CustomerID]],
      Data[OrderDate], "&lt;" &amp; EOMONTH(Data[[#This Row],[OrderDate]], -1) + 1
   ) &gt; 0,
   1,
   0
)</f>
        <v>1</v>
      </c>
      <c r="J279">
        <f>YEAR(Data[[#This Row],[OrderDate]])</f>
        <v>2023</v>
      </c>
      <c r="K279" s="2">
        <f>MONTH(Data[[#This Row],[OrderDate]])</f>
        <v>6</v>
      </c>
      <c r="M279" s="12">
        <v>1074</v>
      </c>
      <c r="N279" s="21">
        <f>MAX(Data[OrderDate])-_xlfn.MAXIFS(Data[OrderDate],Data[CustomerID],M279)</f>
        <v>558</v>
      </c>
      <c r="O279" s="22">
        <f>COUNTIFS(Data[CustomerID], M279)</f>
        <v>1</v>
      </c>
      <c r="P279" s="23">
        <f>SUMIFS(Data[Amount], Data[CustomerID], M279)</f>
        <v>394.63</v>
      </c>
    </row>
    <row r="280" spans="1:16" x14ac:dyDescent="0.25">
      <c r="A280">
        <v>1045</v>
      </c>
      <c r="B280">
        <v>470</v>
      </c>
      <c r="C280" s="1">
        <v>45101</v>
      </c>
      <c r="D280">
        <v>91.01</v>
      </c>
      <c r="E280" t="s">
        <v>8</v>
      </c>
      <c r="F280" t="s">
        <v>18</v>
      </c>
      <c r="G280">
        <f>COUNTIF(Data[CustomerID], Data[[#This Row],[CustomerID]])</f>
        <v>1</v>
      </c>
      <c r="H280" s="1" t="str">
        <f>TEXT(Data[OrderDate],"yyyy-mmm")</f>
        <v>2023-Jun</v>
      </c>
      <c r="I280">
        <f>IF(
   COUNTIFS(
      Data[CustomerID], Data[[#This Row],[CustomerID]],
      Data[OrderDate], "&lt;" &amp; EOMONTH(Data[[#This Row],[OrderDate]], -1) + 1
   ) &gt; 0,
   1,
   0
)</f>
        <v>0</v>
      </c>
      <c r="J280">
        <f>YEAR(Data[[#This Row],[OrderDate]])</f>
        <v>2023</v>
      </c>
      <c r="K280" s="2">
        <f>MONTH(Data[[#This Row],[OrderDate]])</f>
        <v>6</v>
      </c>
      <c r="M280" s="12">
        <v>1850</v>
      </c>
      <c r="N280" s="21">
        <f>MAX(Data[OrderDate])-_xlfn.MAXIFS(Data[OrderDate],Data[CustomerID],M280)</f>
        <v>343</v>
      </c>
      <c r="O280" s="22">
        <f>COUNTIFS(Data[CustomerID], M280)</f>
        <v>1</v>
      </c>
      <c r="P280" s="23">
        <f>SUMIFS(Data[Amount], Data[CustomerID], M280)</f>
        <v>394.55</v>
      </c>
    </row>
    <row r="281" spans="1:16" x14ac:dyDescent="0.25">
      <c r="A281">
        <v>1934</v>
      </c>
      <c r="B281">
        <v>822</v>
      </c>
      <c r="C281" s="1">
        <v>45102</v>
      </c>
      <c r="D281">
        <v>175.11</v>
      </c>
      <c r="E281" t="s">
        <v>15</v>
      </c>
      <c r="F281" t="s">
        <v>12</v>
      </c>
      <c r="G281">
        <f>COUNTIF(Data[CustomerID], Data[[#This Row],[CustomerID]])</f>
        <v>2</v>
      </c>
      <c r="H281" s="1" t="str">
        <f>TEXT(Data[OrderDate],"yyyy-mmm")</f>
        <v>2023-Jun</v>
      </c>
      <c r="I281">
        <f>IF(
   COUNTIFS(
      Data[CustomerID], Data[[#This Row],[CustomerID]],
      Data[OrderDate], "&lt;" &amp; EOMONTH(Data[[#This Row],[OrderDate]], -1) + 1
   ) &gt; 0,
   1,
   0
)</f>
        <v>0</v>
      </c>
      <c r="J281">
        <f>YEAR(Data[[#This Row],[OrderDate]])</f>
        <v>2023</v>
      </c>
      <c r="K281" s="2">
        <f>MONTH(Data[[#This Row],[OrderDate]])</f>
        <v>6</v>
      </c>
      <c r="M281" s="12">
        <v>1573</v>
      </c>
      <c r="N281" s="21">
        <f>MAX(Data[OrderDate])-_xlfn.MAXIFS(Data[OrderDate],Data[CustomerID],M281)</f>
        <v>69</v>
      </c>
      <c r="O281" s="22">
        <f>COUNTIFS(Data[CustomerID], M281)</f>
        <v>2</v>
      </c>
      <c r="P281" s="23">
        <f>SUMIFS(Data[Amount], Data[CustomerID], M281)</f>
        <v>394.5</v>
      </c>
    </row>
    <row r="282" spans="1:16" x14ac:dyDescent="0.25">
      <c r="A282">
        <v>1020</v>
      </c>
      <c r="B282">
        <v>8</v>
      </c>
      <c r="C282" s="1">
        <v>45103</v>
      </c>
      <c r="D282">
        <v>362.33</v>
      </c>
      <c r="E282" t="s">
        <v>6</v>
      </c>
      <c r="F282" t="s">
        <v>14</v>
      </c>
      <c r="G282">
        <f>COUNTIF(Data[CustomerID], Data[[#This Row],[CustomerID]])</f>
        <v>2</v>
      </c>
      <c r="H282" s="1" t="str">
        <f>TEXT(Data[OrderDate],"yyyy-mmm")</f>
        <v>2023-Jun</v>
      </c>
      <c r="I282">
        <f>IF(
   COUNTIFS(
      Data[CustomerID], Data[[#This Row],[CustomerID]],
      Data[OrderDate], "&lt;" &amp; EOMONTH(Data[[#This Row],[OrderDate]], -1) + 1
   ) &gt; 0,
   1,
   0
)</f>
        <v>1</v>
      </c>
      <c r="J282">
        <f>YEAR(Data[[#This Row],[OrderDate]])</f>
        <v>2023</v>
      </c>
      <c r="K282" s="2">
        <f>MONTH(Data[[#This Row],[OrderDate]])</f>
        <v>6</v>
      </c>
      <c r="M282" s="12">
        <v>1116</v>
      </c>
      <c r="N282" s="21">
        <f>MAX(Data[OrderDate])-_xlfn.MAXIFS(Data[OrderDate],Data[CustomerID],M282)</f>
        <v>77</v>
      </c>
      <c r="O282" s="22">
        <f>COUNTIFS(Data[CustomerID], M282)</f>
        <v>2</v>
      </c>
      <c r="P282" s="23">
        <f>SUMIFS(Data[Amount], Data[CustomerID], M282)</f>
        <v>392.91</v>
      </c>
    </row>
    <row r="283" spans="1:16" x14ac:dyDescent="0.25">
      <c r="A283">
        <v>1882</v>
      </c>
      <c r="B283">
        <v>434</v>
      </c>
      <c r="C283" s="1">
        <v>45103</v>
      </c>
      <c r="D283">
        <v>65.27</v>
      </c>
      <c r="E283" t="s">
        <v>9</v>
      </c>
      <c r="F283" t="s">
        <v>7</v>
      </c>
      <c r="G283">
        <f>COUNTIF(Data[CustomerID], Data[[#This Row],[CustomerID]])</f>
        <v>3</v>
      </c>
      <c r="H283" s="1" t="str">
        <f>TEXT(Data[OrderDate],"yyyy-mmm")</f>
        <v>2023-Jun</v>
      </c>
      <c r="I283">
        <f>IF(
   COUNTIFS(
      Data[CustomerID], Data[[#This Row],[CustomerID]],
      Data[OrderDate], "&lt;" &amp; EOMONTH(Data[[#This Row],[OrderDate]], -1) + 1
   ) &gt; 0,
   1,
   0
)</f>
        <v>1</v>
      </c>
      <c r="J283">
        <f>YEAR(Data[[#This Row],[OrderDate]])</f>
        <v>2023</v>
      </c>
      <c r="K283" s="2">
        <f>MONTH(Data[[#This Row],[OrderDate]])</f>
        <v>6</v>
      </c>
      <c r="M283" s="12">
        <v>1050</v>
      </c>
      <c r="N283" s="21">
        <f>MAX(Data[OrderDate])-_xlfn.MAXIFS(Data[OrderDate],Data[CustomerID],M283)</f>
        <v>465</v>
      </c>
      <c r="O283" s="22">
        <f>COUNTIFS(Data[CustomerID], M283)</f>
        <v>1</v>
      </c>
      <c r="P283" s="23">
        <f>SUMIFS(Data[Amount], Data[CustomerID], M283)</f>
        <v>392.33</v>
      </c>
    </row>
    <row r="284" spans="1:16" x14ac:dyDescent="0.25">
      <c r="A284">
        <v>1190</v>
      </c>
      <c r="B284">
        <v>487</v>
      </c>
      <c r="C284" s="1">
        <v>45104</v>
      </c>
      <c r="D284">
        <v>293.16000000000003</v>
      </c>
      <c r="E284" t="s">
        <v>20</v>
      </c>
      <c r="F284" t="s">
        <v>10</v>
      </c>
      <c r="G284">
        <f>COUNTIF(Data[CustomerID], Data[[#This Row],[CustomerID]])</f>
        <v>2</v>
      </c>
      <c r="H284" s="1" t="str">
        <f>TEXT(Data[OrderDate],"yyyy-mmm")</f>
        <v>2023-Jun</v>
      </c>
      <c r="I284">
        <f>IF(
   COUNTIFS(
      Data[CustomerID], Data[[#This Row],[CustomerID]],
      Data[OrderDate], "&lt;" &amp; EOMONTH(Data[[#This Row],[OrderDate]], -1) + 1
   ) &gt; 0,
   1,
   0
)</f>
        <v>1</v>
      </c>
      <c r="J284">
        <f>YEAR(Data[[#This Row],[OrderDate]])</f>
        <v>2023</v>
      </c>
      <c r="K284" s="2">
        <f>MONTH(Data[[#This Row],[OrderDate]])</f>
        <v>6</v>
      </c>
      <c r="M284" s="12">
        <v>1245</v>
      </c>
      <c r="N284" s="21">
        <f>MAX(Data[OrderDate])-_xlfn.MAXIFS(Data[OrderDate],Data[CustomerID],M284)</f>
        <v>319</v>
      </c>
      <c r="O284" s="22">
        <f>COUNTIFS(Data[CustomerID], M284)</f>
        <v>1</v>
      </c>
      <c r="P284" s="23">
        <f>SUMIFS(Data[Amount], Data[CustomerID], M284)</f>
        <v>391.68</v>
      </c>
    </row>
    <row r="285" spans="1:16" x14ac:dyDescent="0.25">
      <c r="A285">
        <v>1200</v>
      </c>
      <c r="B285">
        <v>323</v>
      </c>
      <c r="C285" s="1">
        <v>45105</v>
      </c>
      <c r="D285">
        <v>75.180000000000007</v>
      </c>
      <c r="E285" t="s">
        <v>11</v>
      </c>
      <c r="F285" t="s">
        <v>19</v>
      </c>
      <c r="G285">
        <f>COUNTIF(Data[CustomerID], Data[[#This Row],[CustomerID]])</f>
        <v>3</v>
      </c>
      <c r="H285" s="1" t="str">
        <f>TEXT(Data[OrderDate],"yyyy-mmm")</f>
        <v>2023-Jun</v>
      </c>
      <c r="I285">
        <f>IF(
   COUNTIFS(
      Data[CustomerID], Data[[#This Row],[CustomerID]],
      Data[OrderDate], "&lt;" &amp; EOMONTH(Data[[#This Row],[OrderDate]], -1) + 1
   ) &gt; 0,
   1,
   0
)</f>
        <v>1</v>
      </c>
      <c r="J285">
        <f>YEAR(Data[[#This Row],[OrderDate]])</f>
        <v>2023</v>
      </c>
      <c r="K285" s="2">
        <f>MONTH(Data[[#This Row],[OrderDate]])</f>
        <v>6</v>
      </c>
      <c r="M285" s="12">
        <v>1308</v>
      </c>
      <c r="N285" s="21">
        <f>MAX(Data[OrderDate])-_xlfn.MAXIFS(Data[OrderDate],Data[CustomerID],M285)</f>
        <v>55</v>
      </c>
      <c r="O285" s="22">
        <f>COUNTIFS(Data[CustomerID], M285)</f>
        <v>1</v>
      </c>
      <c r="P285" s="23">
        <f>SUMIFS(Data[Amount], Data[CustomerID], M285)</f>
        <v>389.02</v>
      </c>
    </row>
    <row r="286" spans="1:16" x14ac:dyDescent="0.25">
      <c r="A286">
        <v>1194</v>
      </c>
      <c r="B286">
        <v>427</v>
      </c>
      <c r="C286" s="1">
        <v>45105</v>
      </c>
      <c r="D286">
        <v>73.900000000000006</v>
      </c>
      <c r="E286" t="s">
        <v>20</v>
      </c>
      <c r="F286" t="s">
        <v>12</v>
      </c>
      <c r="G286">
        <f>COUNTIF(Data[CustomerID], Data[[#This Row],[CustomerID]])</f>
        <v>1</v>
      </c>
      <c r="H286" s="1" t="str">
        <f>TEXT(Data[OrderDate],"yyyy-mmm")</f>
        <v>2023-Jun</v>
      </c>
      <c r="I286">
        <f>IF(
   COUNTIFS(
      Data[CustomerID], Data[[#This Row],[CustomerID]],
      Data[OrderDate], "&lt;" &amp; EOMONTH(Data[[#This Row],[OrderDate]], -1) + 1
   ) &gt; 0,
   1,
   0
)</f>
        <v>0</v>
      </c>
      <c r="J286">
        <f>YEAR(Data[[#This Row],[OrderDate]])</f>
        <v>2023</v>
      </c>
      <c r="K286" s="2">
        <f>MONTH(Data[[#This Row],[OrderDate]])</f>
        <v>6</v>
      </c>
      <c r="M286" s="12">
        <v>1902</v>
      </c>
      <c r="N286" s="21">
        <f>MAX(Data[OrderDate])-_xlfn.MAXIFS(Data[OrderDate],Data[CustomerID],M286)</f>
        <v>360</v>
      </c>
      <c r="O286" s="22">
        <f>COUNTIFS(Data[CustomerID], M286)</f>
        <v>2</v>
      </c>
      <c r="P286" s="23">
        <f>SUMIFS(Data[Amount], Data[CustomerID], M286)</f>
        <v>386</v>
      </c>
    </row>
    <row r="287" spans="1:16" x14ac:dyDescent="0.25">
      <c r="A287">
        <v>1687</v>
      </c>
      <c r="B287">
        <v>431</v>
      </c>
      <c r="C287" s="1">
        <v>45106</v>
      </c>
      <c r="D287">
        <v>476.63</v>
      </c>
      <c r="E287" t="s">
        <v>13</v>
      </c>
      <c r="F287" t="s">
        <v>7</v>
      </c>
      <c r="G287">
        <f>COUNTIF(Data[CustomerID], Data[[#This Row],[CustomerID]])</f>
        <v>1</v>
      </c>
      <c r="H287" s="1" t="str">
        <f>TEXT(Data[OrderDate],"yyyy-mmm")</f>
        <v>2023-Jun</v>
      </c>
      <c r="I287">
        <f>IF(
   COUNTIFS(
      Data[CustomerID], Data[[#This Row],[CustomerID]],
      Data[OrderDate], "&lt;" &amp; EOMONTH(Data[[#This Row],[OrderDate]], -1) + 1
   ) &gt; 0,
   1,
   0
)</f>
        <v>0</v>
      </c>
      <c r="J287">
        <f>YEAR(Data[[#This Row],[OrderDate]])</f>
        <v>2023</v>
      </c>
      <c r="K287" s="2">
        <f>MONTH(Data[[#This Row],[OrderDate]])</f>
        <v>6</v>
      </c>
      <c r="M287" s="12">
        <v>1183</v>
      </c>
      <c r="N287" s="21">
        <f>MAX(Data[OrderDate])-_xlfn.MAXIFS(Data[OrderDate],Data[CustomerID],M287)</f>
        <v>63</v>
      </c>
      <c r="O287" s="22">
        <f>COUNTIFS(Data[CustomerID], M287)</f>
        <v>1</v>
      </c>
      <c r="P287" s="23">
        <f>SUMIFS(Data[Amount], Data[CustomerID], M287)</f>
        <v>384.49</v>
      </c>
    </row>
    <row r="288" spans="1:16" x14ac:dyDescent="0.25">
      <c r="A288">
        <v>1098</v>
      </c>
      <c r="B288">
        <v>402</v>
      </c>
      <c r="C288" s="1">
        <v>45108</v>
      </c>
      <c r="D288">
        <v>394.21</v>
      </c>
      <c r="E288" t="s">
        <v>15</v>
      </c>
      <c r="F288" t="s">
        <v>19</v>
      </c>
      <c r="G288">
        <f>COUNTIF(Data[CustomerID], Data[[#This Row],[CustomerID]])</f>
        <v>7</v>
      </c>
      <c r="H288" s="1" t="str">
        <f>TEXT(Data[OrderDate],"yyyy-mmm")</f>
        <v>2023-Jul</v>
      </c>
      <c r="I288">
        <f>IF(
   COUNTIFS(
      Data[CustomerID], Data[[#This Row],[CustomerID]],
      Data[OrderDate], "&lt;" &amp; EOMONTH(Data[[#This Row],[OrderDate]], -1) + 1
   ) &gt; 0,
   1,
   0
)</f>
        <v>1</v>
      </c>
      <c r="J288">
        <f>YEAR(Data[[#This Row],[OrderDate]])</f>
        <v>2023</v>
      </c>
      <c r="K288" s="2">
        <f>MONTH(Data[[#This Row],[OrderDate]])</f>
        <v>7</v>
      </c>
      <c r="M288" s="12">
        <v>1524</v>
      </c>
      <c r="N288" s="21">
        <f>MAX(Data[OrderDate])-_xlfn.MAXIFS(Data[OrderDate],Data[CustomerID],M288)</f>
        <v>168</v>
      </c>
      <c r="O288" s="22">
        <f>COUNTIFS(Data[CustomerID], M288)</f>
        <v>3</v>
      </c>
      <c r="P288" s="23">
        <f>SUMIFS(Data[Amount], Data[CustomerID], M288)</f>
        <v>383.07</v>
      </c>
    </row>
    <row r="289" spans="1:16" x14ac:dyDescent="0.25">
      <c r="A289">
        <v>1400</v>
      </c>
      <c r="B289">
        <v>428</v>
      </c>
      <c r="C289" s="1">
        <v>45108</v>
      </c>
      <c r="D289">
        <v>449.64</v>
      </c>
      <c r="E289" t="s">
        <v>9</v>
      </c>
      <c r="F289" t="s">
        <v>12</v>
      </c>
      <c r="G289">
        <f>COUNTIF(Data[CustomerID], Data[[#This Row],[CustomerID]])</f>
        <v>2</v>
      </c>
      <c r="H289" s="1" t="str">
        <f>TEXT(Data[OrderDate],"yyyy-mmm")</f>
        <v>2023-Jul</v>
      </c>
      <c r="I289">
        <f>IF(
   COUNTIFS(
      Data[CustomerID], Data[[#This Row],[CustomerID]],
      Data[OrderDate], "&lt;" &amp; EOMONTH(Data[[#This Row],[OrderDate]], -1) + 1
   ) &gt; 0,
   1,
   0
)</f>
        <v>1</v>
      </c>
      <c r="J289">
        <f>YEAR(Data[[#This Row],[OrderDate]])</f>
        <v>2023</v>
      </c>
      <c r="K289" s="2">
        <f>MONTH(Data[[#This Row],[OrderDate]])</f>
        <v>7</v>
      </c>
      <c r="M289" s="12">
        <v>1484</v>
      </c>
      <c r="N289" s="21">
        <f>MAX(Data[OrderDate])-_xlfn.MAXIFS(Data[OrderDate],Data[CustomerID],M289)</f>
        <v>122</v>
      </c>
      <c r="O289" s="22">
        <f>COUNTIFS(Data[CustomerID], M289)</f>
        <v>2</v>
      </c>
      <c r="P289" s="23">
        <f>SUMIFS(Data[Amount], Data[CustomerID], M289)</f>
        <v>382.52</v>
      </c>
    </row>
    <row r="290" spans="1:16" x14ac:dyDescent="0.25">
      <c r="A290">
        <v>1154</v>
      </c>
      <c r="B290">
        <v>512</v>
      </c>
      <c r="C290" s="1">
        <v>45108</v>
      </c>
      <c r="D290">
        <v>70.91</v>
      </c>
      <c r="E290" t="s">
        <v>15</v>
      </c>
      <c r="F290" t="s">
        <v>7</v>
      </c>
      <c r="G290">
        <f>COUNTIF(Data[CustomerID], Data[[#This Row],[CustomerID]])</f>
        <v>1</v>
      </c>
      <c r="H290" s="1" t="str">
        <f>TEXT(Data[OrderDate],"yyyy-mmm")</f>
        <v>2023-Jul</v>
      </c>
      <c r="I290">
        <f>IF(
   COUNTIFS(
      Data[CustomerID], Data[[#This Row],[CustomerID]],
      Data[OrderDate], "&lt;" &amp; EOMONTH(Data[[#This Row],[OrderDate]], -1) + 1
   ) &gt; 0,
   1,
   0
)</f>
        <v>0</v>
      </c>
      <c r="J290">
        <f>YEAR(Data[[#This Row],[OrderDate]])</f>
        <v>2023</v>
      </c>
      <c r="K290" s="2">
        <f>MONTH(Data[[#This Row],[OrderDate]])</f>
        <v>7</v>
      </c>
      <c r="M290" s="12">
        <v>1696</v>
      </c>
      <c r="N290" s="21">
        <f>MAX(Data[OrderDate])-_xlfn.MAXIFS(Data[OrderDate],Data[CustomerID],M290)</f>
        <v>425</v>
      </c>
      <c r="O290" s="22">
        <f>COUNTIFS(Data[CustomerID], M290)</f>
        <v>1</v>
      </c>
      <c r="P290" s="23">
        <f>SUMIFS(Data[Amount], Data[CustomerID], M290)</f>
        <v>380.54</v>
      </c>
    </row>
    <row r="291" spans="1:16" x14ac:dyDescent="0.25">
      <c r="A291">
        <v>1565</v>
      </c>
      <c r="B291">
        <v>93</v>
      </c>
      <c r="C291" s="1">
        <v>45109</v>
      </c>
      <c r="D291">
        <v>200.78</v>
      </c>
      <c r="E291" t="s">
        <v>17</v>
      </c>
      <c r="F291" t="s">
        <v>7</v>
      </c>
      <c r="G291">
        <f>COUNTIF(Data[CustomerID], Data[[#This Row],[CustomerID]])</f>
        <v>4</v>
      </c>
      <c r="H291" s="1" t="str">
        <f>TEXT(Data[OrderDate],"yyyy-mmm")</f>
        <v>2023-Jul</v>
      </c>
      <c r="I291">
        <f>IF(
   COUNTIFS(
      Data[CustomerID], Data[[#This Row],[CustomerID]],
      Data[OrderDate], "&lt;" &amp; EOMONTH(Data[[#This Row],[OrderDate]], -1) + 1
   ) &gt; 0,
   1,
   0
)</f>
        <v>1</v>
      </c>
      <c r="J291">
        <f>YEAR(Data[[#This Row],[OrderDate]])</f>
        <v>2023</v>
      </c>
      <c r="K291" s="2">
        <f>MONTH(Data[[#This Row],[OrderDate]])</f>
        <v>7</v>
      </c>
      <c r="M291" s="12">
        <v>1947</v>
      </c>
      <c r="N291" s="21">
        <f>MAX(Data[OrderDate])-_xlfn.MAXIFS(Data[OrderDate],Data[CustomerID],M291)</f>
        <v>368</v>
      </c>
      <c r="O291" s="22">
        <f>COUNTIFS(Data[CustomerID], M291)</f>
        <v>1</v>
      </c>
      <c r="P291" s="23">
        <f>SUMIFS(Data[Amount], Data[CustomerID], M291)</f>
        <v>380.42</v>
      </c>
    </row>
    <row r="292" spans="1:16" x14ac:dyDescent="0.25">
      <c r="A292">
        <v>1544</v>
      </c>
      <c r="B292">
        <v>701</v>
      </c>
      <c r="C292" s="1">
        <v>45109</v>
      </c>
      <c r="D292">
        <v>495.61</v>
      </c>
      <c r="E292" t="s">
        <v>13</v>
      </c>
      <c r="F292" t="s">
        <v>16</v>
      </c>
      <c r="G292">
        <f>COUNTIF(Data[CustomerID], Data[[#This Row],[CustomerID]])</f>
        <v>1</v>
      </c>
      <c r="H292" s="1" t="str">
        <f>TEXT(Data[OrderDate],"yyyy-mmm")</f>
        <v>2023-Jul</v>
      </c>
      <c r="I292">
        <f>IF(
   COUNTIFS(
      Data[CustomerID], Data[[#This Row],[CustomerID]],
      Data[OrderDate], "&lt;" &amp; EOMONTH(Data[[#This Row],[OrderDate]], -1) + 1
   ) &gt; 0,
   1,
   0
)</f>
        <v>0</v>
      </c>
      <c r="J292">
        <f>YEAR(Data[[#This Row],[OrderDate]])</f>
        <v>2023</v>
      </c>
      <c r="K292" s="2">
        <f>MONTH(Data[[#This Row],[OrderDate]])</f>
        <v>7</v>
      </c>
      <c r="M292" s="12">
        <v>1505</v>
      </c>
      <c r="N292" s="21">
        <f>MAX(Data[OrderDate])-_xlfn.MAXIFS(Data[OrderDate],Data[CustomerID],M292)</f>
        <v>90</v>
      </c>
      <c r="O292" s="22">
        <f>COUNTIFS(Data[CustomerID], M292)</f>
        <v>3</v>
      </c>
      <c r="P292" s="23">
        <f>SUMIFS(Data[Amount], Data[CustomerID], M292)</f>
        <v>379.83000000000004</v>
      </c>
    </row>
    <row r="293" spans="1:16" x14ac:dyDescent="0.25">
      <c r="A293">
        <v>1427</v>
      </c>
      <c r="B293">
        <v>80</v>
      </c>
      <c r="C293" s="1">
        <v>45110</v>
      </c>
      <c r="D293">
        <v>421.02</v>
      </c>
      <c r="E293" t="s">
        <v>17</v>
      </c>
      <c r="F293" t="s">
        <v>16</v>
      </c>
      <c r="G293">
        <f>COUNTIF(Data[CustomerID], Data[[#This Row],[CustomerID]])</f>
        <v>1</v>
      </c>
      <c r="H293" s="1" t="str">
        <f>TEXT(Data[OrderDate],"yyyy-mmm")</f>
        <v>2023-Jul</v>
      </c>
      <c r="I293">
        <f>IF(
   COUNTIFS(
      Data[CustomerID], Data[[#This Row],[CustomerID]],
      Data[OrderDate], "&lt;" &amp; EOMONTH(Data[[#This Row],[OrderDate]], -1) + 1
   ) &gt; 0,
   1,
   0
)</f>
        <v>0</v>
      </c>
      <c r="J293">
        <f>YEAR(Data[[#This Row],[OrderDate]])</f>
        <v>2023</v>
      </c>
      <c r="K293" s="2">
        <f>MONTH(Data[[#This Row],[OrderDate]])</f>
        <v>7</v>
      </c>
      <c r="M293" s="12">
        <v>1973</v>
      </c>
      <c r="N293" s="21">
        <f>MAX(Data[OrderDate])-_xlfn.MAXIFS(Data[OrderDate],Data[CustomerID],M293)</f>
        <v>656</v>
      </c>
      <c r="O293" s="22">
        <f>COUNTIFS(Data[CustomerID], M293)</f>
        <v>1</v>
      </c>
      <c r="P293" s="23">
        <f>SUMIFS(Data[Amount], Data[CustomerID], M293)</f>
        <v>379.35</v>
      </c>
    </row>
    <row r="294" spans="1:16" x14ac:dyDescent="0.25">
      <c r="A294">
        <v>1057</v>
      </c>
      <c r="B294">
        <v>604</v>
      </c>
      <c r="C294" s="1">
        <v>45113</v>
      </c>
      <c r="D294">
        <v>138.32</v>
      </c>
      <c r="E294" t="s">
        <v>8</v>
      </c>
      <c r="F294" t="s">
        <v>7</v>
      </c>
      <c r="G294">
        <f>COUNTIF(Data[CustomerID], Data[[#This Row],[CustomerID]])</f>
        <v>4</v>
      </c>
      <c r="H294" s="1" t="str">
        <f>TEXT(Data[OrderDate],"yyyy-mmm")</f>
        <v>2023-Jul</v>
      </c>
      <c r="I294">
        <f>IF(
   COUNTIFS(
      Data[CustomerID], Data[[#This Row],[CustomerID]],
      Data[OrderDate], "&lt;" &amp; EOMONTH(Data[[#This Row],[OrderDate]], -1) + 1
   ) &gt; 0,
   1,
   0
)</f>
        <v>1</v>
      </c>
      <c r="J294">
        <f>YEAR(Data[[#This Row],[OrderDate]])</f>
        <v>2023</v>
      </c>
      <c r="K294" s="2">
        <f>MONTH(Data[[#This Row],[OrderDate]])</f>
        <v>7</v>
      </c>
      <c r="M294" s="12">
        <v>1623</v>
      </c>
      <c r="N294" s="21">
        <f>MAX(Data[OrderDate])-_xlfn.MAXIFS(Data[OrderDate],Data[CustomerID],M294)</f>
        <v>631</v>
      </c>
      <c r="O294" s="22">
        <f>COUNTIFS(Data[CustomerID], M294)</f>
        <v>1</v>
      </c>
      <c r="P294" s="23">
        <f>SUMIFS(Data[Amount], Data[CustomerID], M294)</f>
        <v>378.64</v>
      </c>
    </row>
    <row r="295" spans="1:16" x14ac:dyDescent="0.25">
      <c r="A295">
        <v>1191</v>
      </c>
      <c r="B295">
        <v>754</v>
      </c>
      <c r="C295" s="1">
        <v>45113</v>
      </c>
      <c r="D295">
        <v>161.02000000000001</v>
      </c>
      <c r="E295" t="s">
        <v>17</v>
      </c>
      <c r="F295" t="s">
        <v>18</v>
      </c>
      <c r="G295">
        <f>COUNTIF(Data[CustomerID], Data[[#This Row],[CustomerID]])</f>
        <v>3</v>
      </c>
      <c r="H295" s="1" t="str">
        <f>TEXT(Data[OrderDate],"yyyy-mmm")</f>
        <v>2023-Jul</v>
      </c>
      <c r="I295">
        <f>IF(
   COUNTIFS(
      Data[CustomerID], Data[[#This Row],[CustomerID]],
      Data[OrderDate], "&lt;" &amp; EOMONTH(Data[[#This Row],[OrderDate]], -1) + 1
   ) &gt; 0,
   1,
   0
)</f>
        <v>1</v>
      </c>
      <c r="J295">
        <f>YEAR(Data[[#This Row],[OrderDate]])</f>
        <v>2023</v>
      </c>
      <c r="K295" s="2">
        <f>MONTH(Data[[#This Row],[OrderDate]])</f>
        <v>7</v>
      </c>
      <c r="M295" s="12">
        <v>1480</v>
      </c>
      <c r="N295" s="21">
        <f>MAX(Data[OrderDate])-_xlfn.MAXIFS(Data[OrderDate],Data[CustomerID],M295)</f>
        <v>265</v>
      </c>
      <c r="O295" s="22">
        <f>COUNTIFS(Data[CustomerID], M295)</f>
        <v>1</v>
      </c>
      <c r="P295" s="23">
        <f>SUMIFS(Data[Amount], Data[CustomerID], M295)</f>
        <v>378.36</v>
      </c>
    </row>
    <row r="296" spans="1:16" x14ac:dyDescent="0.25">
      <c r="A296">
        <v>1907</v>
      </c>
      <c r="B296">
        <v>697</v>
      </c>
      <c r="C296" s="1">
        <v>45114</v>
      </c>
      <c r="D296">
        <v>320.58999999999997</v>
      </c>
      <c r="E296" t="s">
        <v>15</v>
      </c>
      <c r="F296" t="s">
        <v>19</v>
      </c>
      <c r="G296">
        <f>COUNTIF(Data[CustomerID], Data[[#This Row],[CustomerID]])</f>
        <v>2</v>
      </c>
      <c r="H296" s="1" t="str">
        <f>TEXT(Data[OrderDate],"yyyy-mmm")</f>
        <v>2023-Jul</v>
      </c>
      <c r="I296">
        <f>IF(
   COUNTIFS(
      Data[CustomerID], Data[[#This Row],[CustomerID]],
      Data[OrderDate], "&lt;" &amp; EOMONTH(Data[[#This Row],[OrderDate]], -1) + 1
   ) &gt; 0,
   1,
   0
)</f>
        <v>0</v>
      </c>
      <c r="J296">
        <f>YEAR(Data[[#This Row],[OrderDate]])</f>
        <v>2023</v>
      </c>
      <c r="K296" s="2">
        <f>MONTH(Data[[#This Row],[OrderDate]])</f>
        <v>7</v>
      </c>
      <c r="M296" s="12">
        <v>1890</v>
      </c>
      <c r="N296" s="21">
        <f>MAX(Data[OrderDate])-_xlfn.MAXIFS(Data[OrderDate],Data[CustomerID],M296)</f>
        <v>530</v>
      </c>
      <c r="O296" s="22">
        <f>COUNTIFS(Data[CustomerID], M296)</f>
        <v>1</v>
      </c>
      <c r="P296" s="23">
        <f>SUMIFS(Data[Amount], Data[CustomerID], M296)</f>
        <v>378.28</v>
      </c>
    </row>
    <row r="297" spans="1:16" x14ac:dyDescent="0.25">
      <c r="A297">
        <v>1495</v>
      </c>
      <c r="B297">
        <v>858</v>
      </c>
      <c r="C297" s="1">
        <v>45117</v>
      </c>
      <c r="D297">
        <v>429.15</v>
      </c>
      <c r="E297" t="s">
        <v>17</v>
      </c>
      <c r="F297" t="s">
        <v>10</v>
      </c>
      <c r="G297">
        <f>COUNTIF(Data[CustomerID], Data[[#This Row],[CustomerID]])</f>
        <v>1</v>
      </c>
      <c r="H297" s="1" t="str">
        <f>TEXT(Data[OrderDate],"yyyy-mmm")</f>
        <v>2023-Jul</v>
      </c>
      <c r="I297">
        <f>IF(
   COUNTIFS(
      Data[CustomerID], Data[[#This Row],[CustomerID]],
      Data[OrderDate], "&lt;" &amp; EOMONTH(Data[[#This Row],[OrderDate]], -1) + 1
   ) &gt; 0,
   1,
   0
)</f>
        <v>0</v>
      </c>
      <c r="J297">
        <f>YEAR(Data[[#This Row],[OrderDate]])</f>
        <v>2023</v>
      </c>
      <c r="K297" s="2">
        <f>MONTH(Data[[#This Row],[OrderDate]])</f>
        <v>7</v>
      </c>
      <c r="M297" s="12">
        <v>1603</v>
      </c>
      <c r="N297" s="21">
        <f>MAX(Data[OrderDate])-_xlfn.MAXIFS(Data[OrderDate],Data[CustomerID],M297)</f>
        <v>587</v>
      </c>
      <c r="O297" s="22">
        <f>COUNTIFS(Data[CustomerID], M297)</f>
        <v>1</v>
      </c>
      <c r="P297" s="23">
        <f>SUMIFS(Data[Amount], Data[CustomerID], M297)</f>
        <v>377.83</v>
      </c>
    </row>
    <row r="298" spans="1:16" x14ac:dyDescent="0.25">
      <c r="A298">
        <v>1406</v>
      </c>
      <c r="B298">
        <v>163</v>
      </c>
      <c r="C298" s="1">
        <v>45118</v>
      </c>
      <c r="D298">
        <v>201.7</v>
      </c>
      <c r="E298" t="s">
        <v>6</v>
      </c>
      <c r="F298" t="s">
        <v>16</v>
      </c>
      <c r="G298">
        <f>COUNTIF(Data[CustomerID], Data[[#This Row],[CustomerID]])</f>
        <v>2</v>
      </c>
      <c r="H298" s="1" t="str">
        <f>TEXT(Data[OrderDate],"yyyy-mmm")</f>
        <v>2023-Jul</v>
      </c>
      <c r="I298">
        <f>IF(
   COUNTIFS(
      Data[CustomerID], Data[[#This Row],[CustomerID]],
      Data[OrderDate], "&lt;" &amp; EOMONTH(Data[[#This Row],[OrderDate]], -1) + 1
   ) &gt; 0,
   1,
   0
)</f>
        <v>0</v>
      </c>
      <c r="J298">
        <f>YEAR(Data[[#This Row],[OrderDate]])</f>
        <v>2023</v>
      </c>
      <c r="K298" s="2">
        <f>MONTH(Data[[#This Row],[OrderDate]])</f>
        <v>7</v>
      </c>
      <c r="M298" s="12">
        <v>1170</v>
      </c>
      <c r="N298" s="21">
        <f>MAX(Data[OrderDate])-_xlfn.MAXIFS(Data[OrderDate],Data[CustomerID],M298)</f>
        <v>76</v>
      </c>
      <c r="O298" s="22">
        <f>COUNTIFS(Data[CustomerID], M298)</f>
        <v>1</v>
      </c>
      <c r="P298" s="23">
        <f>SUMIFS(Data[Amount], Data[CustomerID], M298)</f>
        <v>377.45</v>
      </c>
    </row>
    <row r="299" spans="1:16" x14ac:dyDescent="0.25">
      <c r="A299">
        <v>1933</v>
      </c>
      <c r="B299">
        <v>910</v>
      </c>
      <c r="C299" s="1">
        <v>45118</v>
      </c>
      <c r="D299">
        <v>6.89</v>
      </c>
      <c r="E299" t="s">
        <v>9</v>
      </c>
      <c r="F299" t="s">
        <v>14</v>
      </c>
      <c r="G299">
        <f>COUNTIF(Data[CustomerID], Data[[#This Row],[CustomerID]])</f>
        <v>1</v>
      </c>
      <c r="H299" s="1" t="str">
        <f>TEXT(Data[OrderDate],"yyyy-mmm")</f>
        <v>2023-Jul</v>
      </c>
      <c r="I299">
        <f>IF(
   COUNTIFS(
      Data[CustomerID], Data[[#This Row],[CustomerID]],
      Data[OrderDate], "&lt;" &amp; EOMONTH(Data[[#This Row],[OrderDate]], -1) + 1
   ) &gt; 0,
   1,
   0
)</f>
        <v>0</v>
      </c>
      <c r="J299">
        <f>YEAR(Data[[#This Row],[OrderDate]])</f>
        <v>2023</v>
      </c>
      <c r="K299" s="2">
        <f>MONTH(Data[[#This Row],[OrderDate]])</f>
        <v>7</v>
      </c>
      <c r="M299" s="12">
        <v>1761</v>
      </c>
      <c r="N299" s="21">
        <f>MAX(Data[OrderDate])-_xlfn.MAXIFS(Data[OrderDate],Data[CustomerID],M299)</f>
        <v>211</v>
      </c>
      <c r="O299" s="22">
        <f>COUNTIFS(Data[CustomerID], M299)</f>
        <v>2</v>
      </c>
      <c r="P299" s="23">
        <f>SUMIFS(Data[Amount], Data[CustomerID], M299)</f>
        <v>376.61</v>
      </c>
    </row>
    <row r="300" spans="1:16" x14ac:dyDescent="0.25">
      <c r="A300">
        <v>1505</v>
      </c>
      <c r="B300">
        <v>233</v>
      </c>
      <c r="C300" s="1">
        <v>45120</v>
      </c>
      <c r="D300">
        <v>295.60000000000002</v>
      </c>
      <c r="E300" t="s">
        <v>13</v>
      </c>
      <c r="F300" t="s">
        <v>16</v>
      </c>
      <c r="G300">
        <f>COUNTIF(Data[CustomerID], Data[[#This Row],[CustomerID]])</f>
        <v>3</v>
      </c>
      <c r="H300" s="1" t="str">
        <f>TEXT(Data[OrderDate],"yyyy-mmm")</f>
        <v>2023-Jul</v>
      </c>
      <c r="I300">
        <f>IF(
   COUNTIFS(
      Data[CustomerID], Data[[#This Row],[CustomerID]],
      Data[OrderDate], "&lt;" &amp; EOMONTH(Data[[#This Row],[OrderDate]], -1) + 1
   ) &gt; 0,
   1,
   0
)</f>
        <v>0</v>
      </c>
      <c r="J300">
        <f>YEAR(Data[[#This Row],[OrderDate]])</f>
        <v>2023</v>
      </c>
      <c r="K300" s="2">
        <f>MONTH(Data[[#This Row],[OrderDate]])</f>
        <v>7</v>
      </c>
      <c r="M300" s="12">
        <v>1108</v>
      </c>
      <c r="N300" s="21">
        <f>MAX(Data[OrderDate])-_xlfn.MAXIFS(Data[OrderDate],Data[CustomerID],M300)</f>
        <v>576</v>
      </c>
      <c r="O300" s="22">
        <f>COUNTIFS(Data[CustomerID], M300)</f>
        <v>1</v>
      </c>
      <c r="P300" s="23">
        <f>SUMIFS(Data[Amount], Data[CustomerID], M300)</f>
        <v>376.61</v>
      </c>
    </row>
    <row r="301" spans="1:16" x14ac:dyDescent="0.25">
      <c r="A301">
        <v>1372</v>
      </c>
      <c r="B301">
        <v>471</v>
      </c>
      <c r="C301" s="1">
        <v>45120</v>
      </c>
      <c r="D301">
        <v>329.58</v>
      </c>
      <c r="E301" t="s">
        <v>17</v>
      </c>
      <c r="F301" t="s">
        <v>14</v>
      </c>
      <c r="G301">
        <f>COUNTIF(Data[CustomerID], Data[[#This Row],[CustomerID]])</f>
        <v>4</v>
      </c>
      <c r="H301" s="1" t="str">
        <f>TEXT(Data[OrderDate],"yyyy-mmm")</f>
        <v>2023-Jul</v>
      </c>
      <c r="I301">
        <f>IF(
   COUNTIFS(
      Data[CustomerID], Data[[#This Row],[CustomerID]],
      Data[OrderDate], "&lt;" &amp; EOMONTH(Data[[#This Row],[OrderDate]], -1) + 1
   ) &gt; 0,
   1,
   0
)</f>
        <v>1</v>
      </c>
      <c r="J301">
        <f>YEAR(Data[[#This Row],[OrderDate]])</f>
        <v>2023</v>
      </c>
      <c r="K301" s="2">
        <f>MONTH(Data[[#This Row],[OrderDate]])</f>
        <v>7</v>
      </c>
      <c r="M301" s="12">
        <v>1955</v>
      </c>
      <c r="N301" s="21">
        <f>MAX(Data[OrderDate])-_xlfn.MAXIFS(Data[OrderDate],Data[CustomerID],M301)</f>
        <v>567</v>
      </c>
      <c r="O301" s="22">
        <f>COUNTIFS(Data[CustomerID], M301)</f>
        <v>2</v>
      </c>
      <c r="P301" s="23">
        <f>SUMIFS(Data[Amount], Data[CustomerID], M301)</f>
        <v>376.55</v>
      </c>
    </row>
    <row r="302" spans="1:16" x14ac:dyDescent="0.25">
      <c r="A302">
        <v>1729</v>
      </c>
      <c r="B302">
        <v>100</v>
      </c>
      <c r="C302" s="1">
        <v>45121</v>
      </c>
      <c r="D302">
        <v>182.78</v>
      </c>
      <c r="E302" t="s">
        <v>17</v>
      </c>
      <c r="F302" t="s">
        <v>19</v>
      </c>
      <c r="G302">
        <f>COUNTIF(Data[CustomerID], Data[[#This Row],[CustomerID]])</f>
        <v>2</v>
      </c>
      <c r="H302" s="1" t="str">
        <f>TEXT(Data[OrderDate],"yyyy-mmm")</f>
        <v>2023-Jul</v>
      </c>
      <c r="I302">
        <f>IF(
   COUNTIFS(
      Data[CustomerID], Data[[#This Row],[CustomerID]],
      Data[OrderDate], "&lt;" &amp; EOMONTH(Data[[#This Row],[OrderDate]], -1) + 1
   ) &gt; 0,
   1,
   0
)</f>
        <v>1</v>
      </c>
      <c r="J302">
        <f>YEAR(Data[[#This Row],[OrderDate]])</f>
        <v>2023</v>
      </c>
      <c r="K302" s="2">
        <f>MONTH(Data[[#This Row],[OrderDate]])</f>
        <v>7</v>
      </c>
      <c r="M302" s="12">
        <v>1383</v>
      </c>
      <c r="N302" s="21">
        <f>MAX(Data[OrderDate])-_xlfn.MAXIFS(Data[OrderDate],Data[CustomerID],M302)</f>
        <v>371</v>
      </c>
      <c r="O302" s="22">
        <f>COUNTIFS(Data[CustomerID], M302)</f>
        <v>1</v>
      </c>
      <c r="P302" s="23">
        <f>SUMIFS(Data[Amount], Data[CustomerID], M302)</f>
        <v>375.9</v>
      </c>
    </row>
    <row r="303" spans="1:16" x14ac:dyDescent="0.25">
      <c r="A303">
        <v>1555</v>
      </c>
      <c r="B303">
        <v>101</v>
      </c>
      <c r="C303" s="1">
        <v>45121</v>
      </c>
      <c r="D303">
        <v>195</v>
      </c>
      <c r="E303" t="s">
        <v>20</v>
      </c>
      <c r="F303" t="s">
        <v>16</v>
      </c>
      <c r="G303">
        <f>COUNTIF(Data[CustomerID], Data[[#This Row],[CustomerID]])</f>
        <v>4</v>
      </c>
      <c r="H303" s="1" t="str">
        <f>TEXT(Data[OrderDate],"yyyy-mmm")</f>
        <v>2023-Jul</v>
      </c>
      <c r="I303">
        <f>IF(
   COUNTIFS(
      Data[CustomerID], Data[[#This Row],[CustomerID]],
      Data[OrderDate], "&lt;" &amp; EOMONTH(Data[[#This Row],[OrderDate]], -1) + 1
   ) &gt; 0,
   1,
   0
)</f>
        <v>1</v>
      </c>
      <c r="J303">
        <f>YEAR(Data[[#This Row],[OrderDate]])</f>
        <v>2023</v>
      </c>
      <c r="K303" s="2">
        <f>MONTH(Data[[#This Row],[OrderDate]])</f>
        <v>7</v>
      </c>
      <c r="M303" s="12">
        <v>1458</v>
      </c>
      <c r="N303" s="21">
        <f>MAX(Data[OrderDate])-_xlfn.MAXIFS(Data[OrderDate],Data[CustomerID],M303)</f>
        <v>90</v>
      </c>
      <c r="O303" s="22">
        <f>COUNTIFS(Data[CustomerID], M303)</f>
        <v>1</v>
      </c>
      <c r="P303" s="23">
        <f>SUMIFS(Data[Amount], Data[CustomerID], M303)</f>
        <v>375.84</v>
      </c>
    </row>
    <row r="304" spans="1:16" x14ac:dyDescent="0.25">
      <c r="A304">
        <v>1024</v>
      </c>
      <c r="B304">
        <v>808</v>
      </c>
      <c r="C304" s="1">
        <v>45121</v>
      </c>
      <c r="D304">
        <v>274.7</v>
      </c>
      <c r="E304" t="s">
        <v>8</v>
      </c>
      <c r="F304" t="s">
        <v>16</v>
      </c>
      <c r="G304">
        <f>COUNTIF(Data[CustomerID], Data[[#This Row],[CustomerID]])</f>
        <v>1</v>
      </c>
      <c r="H304" s="1" t="str">
        <f>TEXT(Data[OrderDate],"yyyy-mmm")</f>
        <v>2023-Jul</v>
      </c>
      <c r="I304">
        <f>IF(
   COUNTIFS(
      Data[CustomerID], Data[[#This Row],[CustomerID]],
      Data[OrderDate], "&lt;" &amp; EOMONTH(Data[[#This Row],[OrderDate]], -1) + 1
   ) &gt; 0,
   1,
   0
)</f>
        <v>0</v>
      </c>
      <c r="J304">
        <f>YEAR(Data[[#This Row],[OrderDate]])</f>
        <v>2023</v>
      </c>
      <c r="K304" s="2">
        <f>MONTH(Data[[#This Row],[OrderDate]])</f>
        <v>7</v>
      </c>
      <c r="M304" s="12">
        <v>1284</v>
      </c>
      <c r="N304" s="21">
        <f>MAX(Data[OrderDate])-_xlfn.MAXIFS(Data[OrderDate],Data[CustomerID],M304)</f>
        <v>87</v>
      </c>
      <c r="O304" s="22">
        <f>COUNTIFS(Data[CustomerID], M304)</f>
        <v>2</v>
      </c>
      <c r="P304" s="23">
        <f>SUMIFS(Data[Amount], Data[CustomerID], M304)</f>
        <v>373.59000000000003</v>
      </c>
    </row>
    <row r="305" spans="1:16" x14ac:dyDescent="0.25">
      <c r="A305">
        <v>1710</v>
      </c>
      <c r="B305">
        <v>341</v>
      </c>
      <c r="C305" s="1">
        <v>45122</v>
      </c>
      <c r="D305">
        <v>186.64</v>
      </c>
      <c r="E305" t="s">
        <v>17</v>
      </c>
      <c r="F305" t="s">
        <v>18</v>
      </c>
      <c r="G305">
        <f>COUNTIF(Data[CustomerID], Data[[#This Row],[CustomerID]])</f>
        <v>1</v>
      </c>
      <c r="H305" s="1" t="str">
        <f>TEXT(Data[OrderDate],"yyyy-mmm")</f>
        <v>2023-Jul</v>
      </c>
      <c r="I305">
        <f>IF(
   COUNTIFS(
      Data[CustomerID], Data[[#This Row],[CustomerID]],
      Data[OrderDate], "&lt;" &amp; EOMONTH(Data[[#This Row],[OrderDate]], -1) + 1
   ) &gt; 0,
   1,
   0
)</f>
        <v>0</v>
      </c>
      <c r="J305">
        <f>YEAR(Data[[#This Row],[OrderDate]])</f>
        <v>2023</v>
      </c>
      <c r="K305" s="2">
        <f>MONTH(Data[[#This Row],[OrderDate]])</f>
        <v>7</v>
      </c>
      <c r="M305" s="12">
        <v>1273</v>
      </c>
      <c r="N305" s="21">
        <f>MAX(Data[OrderDate])-_xlfn.MAXIFS(Data[OrderDate],Data[CustomerID],M305)</f>
        <v>602</v>
      </c>
      <c r="O305" s="22">
        <f>COUNTIFS(Data[CustomerID], M305)</f>
        <v>1</v>
      </c>
      <c r="P305" s="23">
        <f>SUMIFS(Data[Amount], Data[CustomerID], M305)</f>
        <v>373.42</v>
      </c>
    </row>
    <row r="306" spans="1:16" x14ac:dyDescent="0.25">
      <c r="A306">
        <v>1368</v>
      </c>
      <c r="B306">
        <v>906</v>
      </c>
      <c r="C306" s="1">
        <v>45122</v>
      </c>
      <c r="D306">
        <v>20.399999999999999</v>
      </c>
      <c r="E306" t="s">
        <v>15</v>
      </c>
      <c r="F306" t="s">
        <v>10</v>
      </c>
      <c r="G306">
        <f>COUNTIF(Data[CustomerID], Data[[#This Row],[CustomerID]])</f>
        <v>2</v>
      </c>
      <c r="H306" s="1" t="str">
        <f>TEXT(Data[OrderDate],"yyyy-mmm")</f>
        <v>2023-Jul</v>
      </c>
      <c r="I306">
        <f>IF(
   COUNTIFS(
      Data[CustomerID], Data[[#This Row],[CustomerID]],
      Data[OrderDate], "&lt;" &amp; EOMONTH(Data[[#This Row],[OrderDate]], -1) + 1
   ) &gt; 0,
   1,
   0
)</f>
        <v>0</v>
      </c>
      <c r="J306">
        <f>YEAR(Data[[#This Row],[OrderDate]])</f>
        <v>2023</v>
      </c>
      <c r="K306" s="2">
        <f>MONTH(Data[[#This Row],[OrderDate]])</f>
        <v>7</v>
      </c>
      <c r="M306" s="12">
        <v>1446</v>
      </c>
      <c r="N306" s="21">
        <f>MAX(Data[OrderDate])-_xlfn.MAXIFS(Data[OrderDate],Data[CustomerID],M306)</f>
        <v>658</v>
      </c>
      <c r="O306" s="22">
        <f>COUNTIFS(Data[CustomerID], M306)</f>
        <v>1</v>
      </c>
      <c r="P306" s="23">
        <f>SUMIFS(Data[Amount], Data[CustomerID], M306)</f>
        <v>372.46</v>
      </c>
    </row>
    <row r="307" spans="1:16" x14ac:dyDescent="0.25">
      <c r="A307">
        <v>1510</v>
      </c>
      <c r="B307">
        <v>319</v>
      </c>
      <c r="C307" s="1">
        <v>45124</v>
      </c>
      <c r="D307">
        <v>320.79000000000002</v>
      </c>
      <c r="E307" t="s">
        <v>6</v>
      </c>
      <c r="F307" t="s">
        <v>7</v>
      </c>
      <c r="G307">
        <f>COUNTIF(Data[CustomerID], Data[[#This Row],[CustomerID]])</f>
        <v>4</v>
      </c>
      <c r="H307" s="1" t="str">
        <f>TEXT(Data[OrderDate],"yyyy-mmm")</f>
        <v>2023-Jul</v>
      </c>
      <c r="I307">
        <f>IF(
   COUNTIFS(
      Data[CustomerID], Data[[#This Row],[CustomerID]],
      Data[OrderDate], "&lt;" &amp; EOMONTH(Data[[#This Row],[OrderDate]], -1) + 1
   ) &gt; 0,
   1,
   0
)</f>
        <v>1</v>
      </c>
      <c r="J307">
        <f>YEAR(Data[[#This Row],[OrderDate]])</f>
        <v>2023</v>
      </c>
      <c r="K307" s="2">
        <f>MONTH(Data[[#This Row],[OrderDate]])</f>
        <v>7</v>
      </c>
      <c r="M307" s="12">
        <v>1236</v>
      </c>
      <c r="N307" s="21">
        <f>MAX(Data[OrderDate])-_xlfn.MAXIFS(Data[OrderDate],Data[CustomerID],M307)</f>
        <v>627</v>
      </c>
      <c r="O307" s="22">
        <f>COUNTIFS(Data[CustomerID], M307)</f>
        <v>1</v>
      </c>
      <c r="P307" s="23">
        <f>SUMIFS(Data[Amount], Data[CustomerID], M307)</f>
        <v>372.15</v>
      </c>
    </row>
    <row r="308" spans="1:16" x14ac:dyDescent="0.25">
      <c r="A308">
        <v>1751</v>
      </c>
      <c r="B308">
        <v>982</v>
      </c>
      <c r="C308" s="1">
        <v>45125</v>
      </c>
      <c r="D308">
        <v>137.55000000000001</v>
      </c>
      <c r="E308" t="s">
        <v>6</v>
      </c>
      <c r="F308" t="s">
        <v>18</v>
      </c>
      <c r="G308">
        <f>COUNTIF(Data[CustomerID], Data[[#This Row],[CustomerID]])</f>
        <v>2</v>
      </c>
      <c r="H308" s="1" t="str">
        <f>TEXT(Data[OrderDate],"yyyy-mmm")</f>
        <v>2023-Jul</v>
      </c>
      <c r="I308">
        <f>IF(
   COUNTIFS(
      Data[CustomerID], Data[[#This Row],[CustomerID]],
      Data[OrderDate], "&lt;" &amp; EOMONTH(Data[[#This Row],[OrderDate]], -1) + 1
   ) &gt; 0,
   1,
   0
)</f>
        <v>0</v>
      </c>
      <c r="J308">
        <f>YEAR(Data[[#This Row],[OrderDate]])</f>
        <v>2023</v>
      </c>
      <c r="K308" s="2">
        <f>MONTH(Data[[#This Row],[OrderDate]])</f>
        <v>7</v>
      </c>
      <c r="M308" s="12">
        <v>1611</v>
      </c>
      <c r="N308" s="21">
        <f>MAX(Data[OrderDate])-_xlfn.MAXIFS(Data[OrderDate],Data[CustomerID],M308)</f>
        <v>127</v>
      </c>
      <c r="O308" s="22">
        <f>COUNTIFS(Data[CustomerID], M308)</f>
        <v>2</v>
      </c>
      <c r="P308" s="23">
        <f>SUMIFS(Data[Amount], Data[CustomerID], M308)</f>
        <v>371.43</v>
      </c>
    </row>
    <row r="309" spans="1:16" x14ac:dyDescent="0.25">
      <c r="A309">
        <v>1550</v>
      </c>
      <c r="B309">
        <v>662</v>
      </c>
      <c r="C309" s="1">
        <v>45126</v>
      </c>
      <c r="D309">
        <v>87.61</v>
      </c>
      <c r="E309" t="s">
        <v>13</v>
      </c>
      <c r="F309" t="s">
        <v>18</v>
      </c>
      <c r="G309">
        <f>COUNTIF(Data[CustomerID], Data[[#This Row],[CustomerID]])</f>
        <v>2</v>
      </c>
      <c r="H309" s="1" t="str">
        <f>TEXT(Data[OrderDate],"yyyy-mmm")</f>
        <v>2023-Jul</v>
      </c>
      <c r="I309">
        <f>IF(
   COUNTIFS(
      Data[CustomerID], Data[[#This Row],[CustomerID]],
      Data[OrderDate], "&lt;" &amp; EOMONTH(Data[[#This Row],[OrderDate]], -1) + 1
   ) &gt; 0,
   1,
   0
)</f>
        <v>1</v>
      </c>
      <c r="J309">
        <f>YEAR(Data[[#This Row],[OrderDate]])</f>
        <v>2023</v>
      </c>
      <c r="K309" s="2">
        <f>MONTH(Data[[#This Row],[OrderDate]])</f>
        <v>7</v>
      </c>
      <c r="M309" s="12">
        <v>1832</v>
      </c>
      <c r="N309" s="21">
        <f>MAX(Data[OrderDate])-_xlfn.MAXIFS(Data[OrderDate],Data[CustomerID],M309)</f>
        <v>278</v>
      </c>
      <c r="O309" s="22">
        <f>COUNTIFS(Data[CustomerID], M309)</f>
        <v>1</v>
      </c>
      <c r="P309" s="23">
        <f>SUMIFS(Data[Amount], Data[CustomerID], M309)</f>
        <v>371.17</v>
      </c>
    </row>
    <row r="310" spans="1:16" x14ac:dyDescent="0.25">
      <c r="A310">
        <v>1958</v>
      </c>
      <c r="B310">
        <v>554</v>
      </c>
      <c r="C310" s="1">
        <v>45127</v>
      </c>
      <c r="D310">
        <v>259.76</v>
      </c>
      <c r="E310" t="s">
        <v>15</v>
      </c>
      <c r="F310" t="s">
        <v>7</v>
      </c>
      <c r="G310">
        <f>COUNTIF(Data[CustomerID], Data[[#This Row],[CustomerID]])</f>
        <v>2</v>
      </c>
      <c r="H310" s="1" t="str">
        <f>TEXT(Data[OrderDate],"yyyy-mmm")</f>
        <v>2023-Jul</v>
      </c>
      <c r="I310">
        <f>IF(
   COUNTIFS(
      Data[CustomerID], Data[[#This Row],[CustomerID]],
      Data[OrderDate], "&lt;" &amp; EOMONTH(Data[[#This Row],[OrderDate]], -1) + 1
   ) &gt; 0,
   1,
   0
)</f>
        <v>0</v>
      </c>
      <c r="J310">
        <f>YEAR(Data[[#This Row],[OrderDate]])</f>
        <v>2023</v>
      </c>
      <c r="K310" s="2">
        <f>MONTH(Data[[#This Row],[OrderDate]])</f>
        <v>7</v>
      </c>
      <c r="M310" s="12">
        <v>1408</v>
      </c>
      <c r="N310" s="21">
        <f>MAX(Data[OrderDate])-_xlfn.MAXIFS(Data[OrderDate],Data[CustomerID],M310)</f>
        <v>216</v>
      </c>
      <c r="O310" s="22">
        <f>COUNTIFS(Data[CustomerID], M310)</f>
        <v>1</v>
      </c>
      <c r="P310" s="23">
        <f>SUMIFS(Data[Amount], Data[CustomerID], M310)</f>
        <v>370.95</v>
      </c>
    </row>
    <row r="311" spans="1:16" x14ac:dyDescent="0.25">
      <c r="A311">
        <v>1117</v>
      </c>
      <c r="B311">
        <v>623</v>
      </c>
      <c r="C311" s="1">
        <v>45127</v>
      </c>
      <c r="D311">
        <v>219.73</v>
      </c>
      <c r="E311" t="s">
        <v>20</v>
      </c>
      <c r="F311" t="s">
        <v>18</v>
      </c>
      <c r="G311">
        <f>COUNTIF(Data[CustomerID], Data[[#This Row],[CustomerID]])</f>
        <v>1</v>
      </c>
      <c r="H311" s="1" t="str">
        <f>TEXT(Data[OrderDate],"yyyy-mmm")</f>
        <v>2023-Jul</v>
      </c>
      <c r="I311">
        <f>IF(
   COUNTIFS(
      Data[CustomerID], Data[[#This Row],[CustomerID]],
      Data[OrderDate], "&lt;" &amp; EOMONTH(Data[[#This Row],[OrderDate]], -1) + 1
   ) &gt; 0,
   1,
   0
)</f>
        <v>0</v>
      </c>
      <c r="J311">
        <f>YEAR(Data[[#This Row],[OrderDate]])</f>
        <v>2023</v>
      </c>
      <c r="K311" s="2">
        <f>MONTH(Data[[#This Row],[OrderDate]])</f>
        <v>7</v>
      </c>
      <c r="M311" s="12">
        <v>1593</v>
      </c>
      <c r="N311" s="21">
        <f>MAX(Data[OrderDate])-_xlfn.MAXIFS(Data[OrderDate],Data[CustomerID],M311)</f>
        <v>173</v>
      </c>
      <c r="O311" s="22">
        <f>COUNTIFS(Data[CustomerID], M311)</f>
        <v>1</v>
      </c>
      <c r="P311" s="23">
        <f>SUMIFS(Data[Amount], Data[CustomerID], M311)</f>
        <v>370.1</v>
      </c>
    </row>
    <row r="312" spans="1:16" x14ac:dyDescent="0.25">
      <c r="A312">
        <v>1821</v>
      </c>
      <c r="B312">
        <v>410</v>
      </c>
      <c r="C312" s="1">
        <v>45128</v>
      </c>
      <c r="D312">
        <v>338.78</v>
      </c>
      <c r="E312" t="s">
        <v>11</v>
      </c>
      <c r="F312" t="s">
        <v>10</v>
      </c>
      <c r="G312">
        <f>COUNTIF(Data[CustomerID], Data[[#This Row],[CustomerID]])</f>
        <v>2</v>
      </c>
      <c r="H312" s="1" t="str">
        <f>TEXT(Data[OrderDate],"yyyy-mmm")</f>
        <v>2023-Jul</v>
      </c>
      <c r="I312">
        <f>IF(
   COUNTIFS(
      Data[CustomerID], Data[[#This Row],[CustomerID]],
      Data[OrderDate], "&lt;" &amp; EOMONTH(Data[[#This Row],[OrderDate]], -1) + 1
   ) &gt; 0,
   1,
   0
)</f>
        <v>0</v>
      </c>
      <c r="J312">
        <f>YEAR(Data[[#This Row],[OrderDate]])</f>
        <v>2023</v>
      </c>
      <c r="K312" s="2">
        <f>MONTH(Data[[#This Row],[OrderDate]])</f>
        <v>7</v>
      </c>
      <c r="M312" s="12">
        <v>1052</v>
      </c>
      <c r="N312" s="21">
        <f>MAX(Data[OrderDate])-_xlfn.MAXIFS(Data[OrderDate],Data[CustomerID],M312)</f>
        <v>101</v>
      </c>
      <c r="O312" s="22">
        <f>COUNTIFS(Data[CustomerID], M312)</f>
        <v>3</v>
      </c>
      <c r="P312" s="23">
        <f>SUMIFS(Data[Amount], Data[CustomerID], M312)</f>
        <v>369.74</v>
      </c>
    </row>
    <row r="313" spans="1:16" x14ac:dyDescent="0.25">
      <c r="A313">
        <v>1561</v>
      </c>
      <c r="B313">
        <v>88</v>
      </c>
      <c r="C313" s="1">
        <v>45131</v>
      </c>
      <c r="D313">
        <v>254.9</v>
      </c>
      <c r="E313" t="s">
        <v>17</v>
      </c>
      <c r="F313" t="s">
        <v>10</v>
      </c>
      <c r="G313">
        <f>COUNTIF(Data[CustomerID], Data[[#This Row],[CustomerID]])</f>
        <v>1</v>
      </c>
      <c r="H313" s="1" t="str">
        <f>TEXT(Data[OrderDate],"yyyy-mmm")</f>
        <v>2023-Jul</v>
      </c>
      <c r="I313">
        <f>IF(
   COUNTIFS(
      Data[CustomerID], Data[[#This Row],[CustomerID]],
      Data[OrderDate], "&lt;" &amp; EOMONTH(Data[[#This Row],[OrderDate]], -1) + 1
   ) &gt; 0,
   1,
   0
)</f>
        <v>0</v>
      </c>
      <c r="J313">
        <f>YEAR(Data[[#This Row],[OrderDate]])</f>
        <v>2023</v>
      </c>
      <c r="K313" s="2">
        <f>MONTH(Data[[#This Row],[OrderDate]])</f>
        <v>7</v>
      </c>
      <c r="M313" s="12">
        <v>1734</v>
      </c>
      <c r="N313" s="21">
        <f>MAX(Data[OrderDate])-_xlfn.MAXIFS(Data[OrderDate],Data[CustomerID],M313)</f>
        <v>611</v>
      </c>
      <c r="O313" s="22">
        <f>COUNTIFS(Data[CustomerID], M313)</f>
        <v>2</v>
      </c>
      <c r="P313" s="23">
        <f>SUMIFS(Data[Amount], Data[CustomerID], M313)</f>
        <v>369.38</v>
      </c>
    </row>
    <row r="314" spans="1:16" x14ac:dyDescent="0.25">
      <c r="A314">
        <v>1255</v>
      </c>
      <c r="B314">
        <v>991</v>
      </c>
      <c r="C314" s="1">
        <v>45132</v>
      </c>
      <c r="D314">
        <v>21.16</v>
      </c>
      <c r="E314" t="s">
        <v>17</v>
      </c>
      <c r="F314" t="s">
        <v>16</v>
      </c>
      <c r="G314">
        <f>COUNTIF(Data[CustomerID], Data[[#This Row],[CustomerID]])</f>
        <v>2</v>
      </c>
      <c r="H314" s="1" t="str">
        <f>TEXT(Data[OrderDate],"yyyy-mmm")</f>
        <v>2023-Jul</v>
      </c>
      <c r="I314">
        <f>IF(
   COUNTIFS(
      Data[CustomerID], Data[[#This Row],[CustomerID]],
      Data[OrderDate], "&lt;" &amp; EOMONTH(Data[[#This Row],[OrderDate]], -1) + 1
   ) &gt; 0,
   1,
   0
)</f>
        <v>0</v>
      </c>
      <c r="J314">
        <f>YEAR(Data[[#This Row],[OrderDate]])</f>
        <v>2023</v>
      </c>
      <c r="K314" s="2">
        <f>MONTH(Data[[#This Row],[OrderDate]])</f>
        <v>7</v>
      </c>
      <c r="M314" s="12">
        <v>1642</v>
      </c>
      <c r="N314" s="21">
        <f>MAX(Data[OrderDate])-_xlfn.MAXIFS(Data[OrderDate],Data[CustomerID],M314)</f>
        <v>120</v>
      </c>
      <c r="O314" s="22">
        <f>COUNTIFS(Data[CustomerID], M314)</f>
        <v>1</v>
      </c>
      <c r="P314" s="23">
        <f>SUMIFS(Data[Amount], Data[CustomerID], M314)</f>
        <v>367.78</v>
      </c>
    </row>
    <row r="315" spans="1:16" x14ac:dyDescent="0.25">
      <c r="A315">
        <v>1504</v>
      </c>
      <c r="B315">
        <v>57</v>
      </c>
      <c r="C315" s="1">
        <v>45133</v>
      </c>
      <c r="D315">
        <v>222.11</v>
      </c>
      <c r="E315" t="s">
        <v>13</v>
      </c>
      <c r="F315" t="s">
        <v>19</v>
      </c>
      <c r="G315">
        <f>COUNTIF(Data[CustomerID], Data[[#This Row],[CustomerID]])</f>
        <v>2</v>
      </c>
      <c r="H315" s="1" t="str">
        <f>TEXT(Data[OrderDate],"yyyy-mmm")</f>
        <v>2023-Jul</v>
      </c>
      <c r="I315">
        <f>IF(
   COUNTIFS(
      Data[CustomerID], Data[[#This Row],[CustomerID]],
      Data[OrderDate], "&lt;" &amp; EOMONTH(Data[[#This Row],[OrderDate]], -1) + 1
   ) &gt; 0,
   1,
   0
)</f>
        <v>0</v>
      </c>
      <c r="J315">
        <f>YEAR(Data[[#This Row],[OrderDate]])</f>
        <v>2023</v>
      </c>
      <c r="K315" s="2">
        <f>MONTH(Data[[#This Row],[OrderDate]])</f>
        <v>7</v>
      </c>
      <c r="M315" s="12">
        <v>1028</v>
      </c>
      <c r="N315" s="21">
        <f>MAX(Data[OrderDate])-_xlfn.MAXIFS(Data[OrderDate],Data[CustomerID],M315)</f>
        <v>143</v>
      </c>
      <c r="O315" s="22">
        <f>COUNTIFS(Data[CustomerID], M315)</f>
        <v>1</v>
      </c>
      <c r="P315" s="23">
        <f>SUMIFS(Data[Amount], Data[CustomerID], M315)</f>
        <v>367.65</v>
      </c>
    </row>
    <row r="316" spans="1:16" x14ac:dyDescent="0.25">
      <c r="A316">
        <v>1868</v>
      </c>
      <c r="B316">
        <v>969</v>
      </c>
      <c r="C316" s="1">
        <v>45134</v>
      </c>
      <c r="D316">
        <v>366.47</v>
      </c>
      <c r="E316" t="s">
        <v>6</v>
      </c>
      <c r="F316" t="s">
        <v>7</v>
      </c>
      <c r="G316">
        <f>COUNTIF(Data[CustomerID], Data[[#This Row],[CustomerID]])</f>
        <v>2</v>
      </c>
      <c r="H316" s="1" t="str">
        <f>TEXT(Data[OrderDate],"yyyy-mmm")</f>
        <v>2023-Jul</v>
      </c>
      <c r="I316">
        <f>IF(
   COUNTIFS(
      Data[CustomerID], Data[[#This Row],[CustomerID]],
      Data[OrderDate], "&lt;" &amp; EOMONTH(Data[[#This Row],[OrderDate]], -1) + 1
   ) &gt; 0,
   1,
   0
)</f>
        <v>0</v>
      </c>
      <c r="J316">
        <f>YEAR(Data[[#This Row],[OrderDate]])</f>
        <v>2023</v>
      </c>
      <c r="K316" s="2">
        <f>MONTH(Data[[#This Row],[OrderDate]])</f>
        <v>7</v>
      </c>
      <c r="M316" s="12">
        <v>1547</v>
      </c>
      <c r="N316" s="21">
        <f>MAX(Data[OrderDate])-_xlfn.MAXIFS(Data[OrderDate],Data[CustomerID],M316)</f>
        <v>381</v>
      </c>
      <c r="O316" s="22">
        <f>COUNTIFS(Data[CustomerID], M316)</f>
        <v>1</v>
      </c>
      <c r="P316" s="23">
        <f>SUMIFS(Data[Amount], Data[CustomerID], M316)</f>
        <v>367.56</v>
      </c>
    </row>
    <row r="317" spans="1:16" x14ac:dyDescent="0.25">
      <c r="A317">
        <v>1470</v>
      </c>
      <c r="B317">
        <v>547</v>
      </c>
      <c r="C317" s="1">
        <v>45135</v>
      </c>
      <c r="D317">
        <v>180.65</v>
      </c>
      <c r="E317" t="s">
        <v>9</v>
      </c>
      <c r="F317" t="s">
        <v>10</v>
      </c>
      <c r="G317">
        <f>COUNTIF(Data[CustomerID], Data[[#This Row],[CustomerID]])</f>
        <v>2</v>
      </c>
      <c r="H317" s="1" t="str">
        <f>TEXT(Data[OrderDate],"yyyy-mmm")</f>
        <v>2023-Jul</v>
      </c>
      <c r="I317">
        <f>IF(
   COUNTIFS(
      Data[CustomerID], Data[[#This Row],[CustomerID]],
      Data[OrderDate], "&lt;" &amp; EOMONTH(Data[[#This Row],[OrderDate]], -1) + 1
   ) &gt; 0,
   1,
   0
)</f>
        <v>1</v>
      </c>
      <c r="J317">
        <f>YEAR(Data[[#This Row],[OrderDate]])</f>
        <v>2023</v>
      </c>
      <c r="K317" s="2">
        <f>MONTH(Data[[#This Row],[OrderDate]])</f>
        <v>7</v>
      </c>
      <c r="M317" s="12">
        <v>1818</v>
      </c>
      <c r="N317" s="21">
        <f>MAX(Data[OrderDate])-_xlfn.MAXIFS(Data[OrderDate],Data[CustomerID],M317)</f>
        <v>27</v>
      </c>
      <c r="O317" s="22">
        <f>COUNTIFS(Data[CustomerID], M317)</f>
        <v>2</v>
      </c>
      <c r="P317" s="23">
        <f>SUMIFS(Data[Amount], Data[CustomerID], M317)</f>
        <v>367.17999999999995</v>
      </c>
    </row>
    <row r="318" spans="1:16" x14ac:dyDescent="0.25">
      <c r="A318">
        <v>1658</v>
      </c>
      <c r="B318">
        <v>379</v>
      </c>
      <c r="C318" s="1">
        <v>45136</v>
      </c>
      <c r="D318">
        <v>385.46</v>
      </c>
      <c r="E318" t="s">
        <v>11</v>
      </c>
      <c r="F318" t="s">
        <v>7</v>
      </c>
      <c r="G318">
        <f>COUNTIF(Data[CustomerID], Data[[#This Row],[CustomerID]])</f>
        <v>5</v>
      </c>
      <c r="H318" s="1" t="str">
        <f>TEXT(Data[OrderDate],"yyyy-mmm")</f>
        <v>2023-Jul</v>
      </c>
      <c r="I318">
        <f>IF(
   COUNTIFS(
      Data[CustomerID], Data[[#This Row],[CustomerID]],
      Data[OrderDate], "&lt;" &amp; EOMONTH(Data[[#This Row],[OrderDate]], -1) + 1
   ) &gt; 0,
   1,
   0
)</f>
        <v>1</v>
      </c>
      <c r="J318">
        <f>YEAR(Data[[#This Row],[OrderDate]])</f>
        <v>2023</v>
      </c>
      <c r="K318" s="2">
        <f>MONTH(Data[[#This Row],[OrderDate]])</f>
        <v>7</v>
      </c>
      <c r="M318" s="12">
        <v>1326</v>
      </c>
      <c r="N318" s="21">
        <f>MAX(Data[OrderDate])-_xlfn.MAXIFS(Data[OrderDate],Data[CustomerID],M318)</f>
        <v>669</v>
      </c>
      <c r="O318" s="22">
        <f>COUNTIFS(Data[CustomerID], M318)</f>
        <v>1</v>
      </c>
      <c r="P318" s="23">
        <f>SUMIFS(Data[Amount], Data[CustomerID], M318)</f>
        <v>363.97</v>
      </c>
    </row>
    <row r="319" spans="1:16" x14ac:dyDescent="0.25">
      <c r="A319">
        <v>1815</v>
      </c>
      <c r="B319">
        <v>421</v>
      </c>
      <c r="C319" s="1">
        <v>45136</v>
      </c>
      <c r="D319">
        <v>288.66000000000003</v>
      </c>
      <c r="E319" t="s">
        <v>6</v>
      </c>
      <c r="F319" t="s">
        <v>18</v>
      </c>
      <c r="G319">
        <f>COUNTIF(Data[CustomerID], Data[[#This Row],[CustomerID]])</f>
        <v>4</v>
      </c>
      <c r="H319" s="1" t="str">
        <f>TEXT(Data[OrderDate],"yyyy-mmm")</f>
        <v>2023-Jul</v>
      </c>
      <c r="I319">
        <f>IF(
   COUNTIFS(
      Data[CustomerID], Data[[#This Row],[CustomerID]],
      Data[OrderDate], "&lt;" &amp; EOMONTH(Data[[#This Row],[OrderDate]], -1) + 1
   ) &gt; 0,
   1,
   0
)</f>
        <v>0</v>
      </c>
      <c r="J319">
        <f>YEAR(Data[[#This Row],[OrderDate]])</f>
        <v>2023</v>
      </c>
      <c r="K319" s="2">
        <f>MONTH(Data[[#This Row],[OrderDate]])</f>
        <v>7</v>
      </c>
      <c r="M319" s="12">
        <v>1694</v>
      </c>
      <c r="N319" s="21">
        <f>MAX(Data[OrderDate])-_xlfn.MAXIFS(Data[OrderDate],Data[CustomerID],M319)</f>
        <v>125</v>
      </c>
      <c r="O319" s="22">
        <f>COUNTIFS(Data[CustomerID], M319)</f>
        <v>1</v>
      </c>
      <c r="P319" s="23">
        <f>SUMIFS(Data[Amount], Data[CustomerID], M319)</f>
        <v>363.95</v>
      </c>
    </row>
    <row r="320" spans="1:16" x14ac:dyDescent="0.25">
      <c r="A320">
        <v>1172</v>
      </c>
      <c r="B320">
        <v>917</v>
      </c>
      <c r="C320" s="1">
        <v>45136</v>
      </c>
      <c r="D320">
        <v>173.49</v>
      </c>
      <c r="E320" t="s">
        <v>15</v>
      </c>
      <c r="F320" t="s">
        <v>18</v>
      </c>
      <c r="G320">
        <f>COUNTIF(Data[CustomerID], Data[[#This Row],[CustomerID]])</f>
        <v>2</v>
      </c>
      <c r="H320" s="1" t="str">
        <f>TEXT(Data[OrderDate],"yyyy-mmm")</f>
        <v>2023-Jul</v>
      </c>
      <c r="I320">
        <f>IF(
   COUNTIFS(
      Data[CustomerID], Data[[#This Row],[CustomerID]],
      Data[OrderDate], "&lt;" &amp; EOMONTH(Data[[#This Row],[OrderDate]], -1) + 1
   ) &gt; 0,
   1,
   0
)</f>
        <v>0</v>
      </c>
      <c r="J320">
        <f>YEAR(Data[[#This Row],[OrderDate]])</f>
        <v>2023</v>
      </c>
      <c r="K320" s="2">
        <f>MONTH(Data[[#This Row],[OrderDate]])</f>
        <v>7</v>
      </c>
      <c r="M320" s="12">
        <v>1770</v>
      </c>
      <c r="N320" s="21">
        <f>MAX(Data[OrderDate])-_xlfn.MAXIFS(Data[OrderDate],Data[CustomerID],M320)</f>
        <v>31</v>
      </c>
      <c r="O320" s="22">
        <f>COUNTIFS(Data[CustomerID], M320)</f>
        <v>1</v>
      </c>
      <c r="P320" s="23">
        <f>SUMIFS(Data[Amount], Data[CustomerID], M320)</f>
        <v>363.64</v>
      </c>
    </row>
    <row r="321" spans="1:16" x14ac:dyDescent="0.25">
      <c r="A321">
        <v>1942</v>
      </c>
      <c r="B321">
        <v>176</v>
      </c>
      <c r="C321" s="1">
        <v>45138</v>
      </c>
      <c r="D321">
        <v>76.05</v>
      </c>
      <c r="E321" t="s">
        <v>8</v>
      </c>
      <c r="F321" t="s">
        <v>10</v>
      </c>
      <c r="G321">
        <f>COUNTIF(Data[CustomerID], Data[[#This Row],[CustomerID]])</f>
        <v>3</v>
      </c>
      <c r="H321" s="1" t="str">
        <f>TEXT(Data[OrderDate],"yyyy-mmm")</f>
        <v>2023-Jul</v>
      </c>
      <c r="I321">
        <f>IF(
   COUNTIFS(
      Data[CustomerID], Data[[#This Row],[CustomerID]],
      Data[OrderDate], "&lt;" &amp; EOMONTH(Data[[#This Row],[OrderDate]], -1) + 1
   ) &gt; 0,
   1,
   0
)</f>
        <v>1</v>
      </c>
      <c r="J321">
        <f>YEAR(Data[[#This Row],[OrderDate]])</f>
        <v>2023</v>
      </c>
      <c r="K321" s="2">
        <f>MONTH(Data[[#This Row],[OrderDate]])</f>
        <v>7</v>
      </c>
      <c r="M321" s="12">
        <v>1022</v>
      </c>
      <c r="N321" s="21">
        <f>MAX(Data[OrderDate])-_xlfn.MAXIFS(Data[OrderDate],Data[CustomerID],M321)</f>
        <v>129</v>
      </c>
      <c r="O321" s="22">
        <f>COUNTIFS(Data[CustomerID], M321)</f>
        <v>1</v>
      </c>
      <c r="P321" s="23">
        <f>SUMIFS(Data[Amount], Data[CustomerID], M321)</f>
        <v>363.09</v>
      </c>
    </row>
    <row r="322" spans="1:16" x14ac:dyDescent="0.25">
      <c r="A322">
        <v>1379</v>
      </c>
      <c r="B322">
        <v>127</v>
      </c>
      <c r="C322" s="1">
        <v>45140</v>
      </c>
      <c r="D322">
        <v>201.35</v>
      </c>
      <c r="E322" t="s">
        <v>8</v>
      </c>
      <c r="F322" t="s">
        <v>14</v>
      </c>
      <c r="G322">
        <f>COUNTIF(Data[CustomerID], Data[[#This Row],[CustomerID]])</f>
        <v>2</v>
      </c>
      <c r="H322" s="1" t="str">
        <f>TEXT(Data[OrderDate],"yyyy-mmm")</f>
        <v>2023-Aug</v>
      </c>
      <c r="I322">
        <f>IF(
   COUNTIFS(
      Data[CustomerID], Data[[#This Row],[CustomerID]],
      Data[OrderDate], "&lt;" &amp; EOMONTH(Data[[#This Row],[OrderDate]], -1) + 1
   ) &gt; 0,
   1,
   0
)</f>
        <v>1</v>
      </c>
      <c r="J322">
        <f>YEAR(Data[[#This Row],[OrderDate]])</f>
        <v>2023</v>
      </c>
      <c r="K322" s="2">
        <f>MONTH(Data[[#This Row],[OrderDate]])</f>
        <v>8</v>
      </c>
      <c r="M322" s="12">
        <v>1410</v>
      </c>
      <c r="N322" s="21">
        <f>MAX(Data[OrderDate])-_xlfn.MAXIFS(Data[OrderDate],Data[CustomerID],M322)</f>
        <v>380</v>
      </c>
      <c r="O322" s="22">
        <f>COUNTIFS(Data[CustomerID], M322)</f>
        <v>1</v>
      </c>
      <c r="P322" s="23">
        <f>SUMIFS(Data[Amount], Data[CustomerID], M322)</f>
        <v>359.17</v>
      </c>
    </row>
    <row r="323" spans="1:16" x14ac:dyDescent="0.25">
      <c r="A323">
        <v>1959</v>
      </c>
      <c r="B323">
        <v>454</v>
      </c>
      <c r="C323" s="1">
        <v>45141</v>
      </c>
      <c r="D323">
        <v>244.88</v>
      </c>
      <c r="E323" t="s">
        <v>20</v>
      </c>
      <c r="F323" t="s">
        <v>10</v>
      </c>
      <c r="G323">
        <f>COUNTIF(Data[CustomerID], Data[[#This Row],[CustomerID]])</f>
        <v>1</v>
      </c>
      <c r="H323" s="1" t="str">
        <f>TEXT(Data[OrderDate],"yyyy-mmm")</f>
        <v>2023-Aug</v>
      </c>
      <c r="I323">
        <f>IF(
   COUNTIFS(
      Data[CustomerID], Data[[#This Row],[CustomerID]],
      Data[OrderDate], "&lt;" &amp; EOMONTH(Data[[#This Row],[OrderDate]], -1) + 1
   ) &gt; 0,
   1,
   0
)</f>
        <v>0</v>
      </c>
      <c r="J323">
        <f>YEAR(Data[[#This Row],[OrderDate]])</f>
        <v>2023</v>
      </c>
      <c r="K323" s="2">
        <f>MONTH(Data[[#This Row],[OrderDate]])</f>
        <v>8</v>
      </c>
      <c r="M323" s="12">
        <v>1970</v>
      </c>
      <c r="N323" s="21">
        <f>MAX(Data[OrderDate])-_xlfn.MAXIFS(Data[OrderDate],Data[CustomerID],M323)</f>
        <v>616</v>
      </c>
      <c r="O323" s="22">
        <f>COUNTIFS(Data[CustomerID], M323)</f>
        <v>1</v>
      </c>
      <c r="P323" s="23">
        <f>SUMIFS(Data[Amount], Data[CustomerID], M323)</f>
        <v>355.31</v>
      </c>
    </row>
    <row r="324" spans="1:16" x14ac:dyDescent="0.25">
      <c r="A324">
        <v>1288</v>
      </c>
      <c r="B324">
        <v>148</v>
      </c>
      <c r="C324" s="1">
        <v>45142</v>
      </c>
      <c r="D324">
        <v>432.79</v>
      </c>
      <c r="E324" t="s">
        <v>13</v>
      </c>
      <c r="F324" t="s">
        <v>14</v>
      </c>
      <c r="G324">
        <f>COUNTIF(Data[CustomerID], Data[[#This Row],[CustomerID]])</f>
        <v>2</v>
      </c>
      <c r="H324" s="1" t="str">
        <f>TEXT(Data[OrderDate],"yyyy-mmm")</f>
        <v>2023-Aug</v>
      </c>
      <c r="I324">
        <f>IF(
   COUNTIFS(
      Data[CustomerID], Data[[#This Row],[CustomerID]],
      Data[OrderDate], "&lt;" &amp; EOMONTH(Data[[#This Row],[OrderDate]], -1) + 1
   ) &gt; 0,
   1,
   0
)</f>
        <v>0</v>
      </c>
      <c r="J324">
        <f>YEAR(Data[[#This Row],[OrderDate]])</f>
        <v>2023</v>
      </c>
      <c r="K324" s="2">
        <f>MONTH(Data[[#This Row],[OrderDate]])</f>
        <v>8</v>
      </c>
      <c r="M324" s="12">
        <v>1801</v>
      </c>
      <c r="N324" s="21">
        <f>MAX(Data[OrderDate])-_xlfn.MAXIFS(Data[OrderDate],Data[CustomerID],M324)</f>
        <v>193</v>
      </c>
      <c r="O324" s="22">
        <f>COUNTIFS(Data[CustomerID], M324)</f>
        <v>2</v>
      </c>
      <c r="P324" s="23">
        <f>SUMIFS(Data[Amount], Data[CustomerID], M324)</f>
        <v>353.1</v>
      </c>
    </row>
    <row r="325" spans="1:16" x14ac:dyDescent="0.25">
      <c r="A325">
        <v>1871</v>
      </c>
      <c r="B325">
        <v>349</v>
      </c>
      <c r="C325" s="1">
        <v>45142</v>
      </c>
      <c r="D325">
        <v>139.22</v>
      </c>
      <c r="E325" t="s">
        <v>17</v>
      </c>
      <c r="F325" t="s">
        <v>16</v>
      </c>
      <c r="G325">
        <f>COUNTIF(Data[CustomerID], Data[[#This Row],[CustomerID]])</f>
        <v>5</v>
      </c>
      <c r="H325" s="1" t="str">
        <f>TEXT(Data[OrderDate],"yyyy-mmm")</f>
        <v>2023-Aug</v>
      </c>
      <c r="I325">
        <f>IF(
   COUNTIFS(
      Data[CustomerID], Data[[#This Row],[CustomerID]],
      Data[OrderDate], "&lt;" &amp; EOMONTH(Data[[#This Row],[OrderDate]], -1) + 1
   ) &gt; 0,
   1,
   0
)</f>
        <v>1</v>
      </c>
      <c r="J325">
        <f>YEAR(Data[[#This Row],[OrderDate]])</f>
        <v>2023</v>
      </c>
      <c r="K325" s="2">
        <f>MONTH(Data[[#This Row],[OrderDate]])</f>
        <v>8</v>
      </c>
      <c r="M325" s="12">
        <v>1757</v>
      </c>
      <c r="N325" s="21">
        <f>MAX(Data[OrderDate])-_xlfn.MAXIFS(Data[OrderDate],Data[CustomerID],M325)</f>
        <v>653</v>
      </c>
      <c r="O325" s="22">
        <f>COUNTIFS(Data[CustomerID], M325)</f>
        <v>1</v>
      </c>
      <c r="P325" s="23">
        <f>SUMIFS(Data[Amount], Data[CustomerID], M325)</f>
        <v>352.96</v>
      </c>
    </row>
    <row r="326" spans="1:16" x14ac:dyDescent="0.25">
      <c r="A326">
        <v>1203</v>
      </c>
      <c r="B326">
        <v>656</v>
      </c>
      <c r="C326" s="1">
        <v>45142</v>
      </c>
      <c r="D326">
        <v>112.52</v>
      </c>
      <c r="E326" t="s">
        <v>9</v>
      </c>
      <c r="F326" t="s">
        <v>19</v>
      </c>
      <c r="G326">
        <f>COUNTIF(Data[CustomerID], Data[[#This Row],[CustomerID]])</f>
        <v>1</v>
      </c>
      <c r="H326" s="1" t="str">
        <f>TEXT(Data[OrderDate],"yyyy-mmm")</f>
        <v>2023-Aug</v>
      </c>
      <c r="I326">
        <f>IF(
   COUNTIFS(
      Data[CustomerID], Data[[#This Row],[CustomerID]],
      Data[OrderDate], "&lt;" &amp; EOMONTH(Data[[#This Row],[OrderDate]], -1) + 1
   ) &gt; 0,
   1,
   0
)</f>
        <v>0</v>
      </c>
      <c r="J326">
        <f>YEAR(Data[[#This Row],[OrderDate]])</f>
        <v>2023</v>
      </c>
      <c r="K326" s="2">
        <f>MONTH(Data[[#This Row],[OrderDate]])</f>
        <v>8</v>
      </c>
      <c r="M326" s="12">
        <v>1576</v>
      </c>
      <c r="N326" s="21">
        <f>MAX(Data[OrderDate])-_xlfn.MAXIFS(Data[OrderDate],Data[CustomerID],M326)</f>
        <v>539</v>
      </c>
      <c r="O326" s="22">
        <f>COUNTIFS(Data[CustomerID], M326)</f>
        <v>1</v>
      </c>
      <c r="P326" s="23">
        <f>SUMIFS(Data[Amount], Data[CustomerID], M326)</f>
        <v>351.62</v>
      </c>
    </row>
    <row r="327" spans="1:16" x14ac:dyDescent="0.25">
      <c r="A327">
        <v>1264</v>
      </c>
      <c r="B327">
        <v>793</v>
      </c>
      <c r="C327" s="1">
        <v>45142</v>
      </c>
      <c r="D327">
        <v>333.77</v>
      </c>
      <c r="E327" t="s">
        <v>8</v>
      </c>
      <c r="F327" t="s">
        <v>14</v>
      </c>
      <c r="G327">
        <f>COUNTIF(Data[CustomerID], Data[[#This Row],[CustomerID]])</f>
        <v>1</v>
      </c>
      <c r="H327" s="1" t="str">
        <f>TEXT(Data[OrderDate],"yyyy-mmm")</f>
        <v>2023-Aug</v>
      </c>
      <c r="I327">
        <f>IF(
   COUNTIFS(
      Data[CustomerID], Data[[#This Row],[CustomerID]],
      Data[OrderDate], "&lt;" &amp; EOMONTH(Data[[#This Row],[OrderDate]], -1) + 1
   ) &gt; 0,
   1,
   0
)</f>
        <v>0</v>
      </c>
      <c r="J327">
        <f>YEAR(Data[[#This Row],[OrderDate]])</f>
        <v>2023</v>
      </c>
      <c r="K327" s="2">
        <f>MONTH(Data[[#This Row],[OrderDate]])</f>
        <v>8</v>
      </c>
      <c r="M327" s="12">
        <v>1841</v>
      </c>
      <c r="N327" s="21">
        <f>MAX(Data[OrderDate])-_xlfn.MAXIFS(Data[OrderDate],Data[CustomerID],M327)</f>
        <v>274</v>
      </c>
      <c r="O327" s="22">
        <f>COUNTIFS(Data[CustomerID], M327)</f>
        <v>1</v>
      </c>
      <c r="P327" s="23">
        <f>SUMIFS(Data[Amount], Data[CustomerID], M327)</f>
        <v>350.35</v>
      </c>
    </row>
    <row r="328" spans="1:16" x14ac:dyDescent="0.25">
      <c r="A328">
        <v>1173</v>
      </c>
      <c r="B328">
        <v>843</v>
      </c>
      <c r="C328" s="1">
        <v>45142</v>
      </c>
      <c r="D328">
        <v>281.12</v>
      </c>
      <c r="E328" t="s">
        <v>11</v>
      </c>
      <c r="F328" t="s">
        <v>18</v>
      </c>
      <c r="G328">
        <f>COUNTIF(Data[CustomerID], Data[[#This Row],[CustomerID]])</f>
        <v>1</v>
      </c>
      <c r="H328" s="1" t="str">
        <f>TEXT(Data[OrderDate],"yyyy-mmm")</f>
        <v>2023-Aug</v>
      </c>
      <c r="I328">
        <f>IF(
   COUNTIFS(
      Data[CustomerID], Data[[#This Row],[CustomerID]],
      Data[OrderDate], "&lt;" &amp; EOMONTH(Data[[#This Row],[OrderDate]], -1) + 1
   ) &gt; 0,
   1,
   0
)</f>
        <v>0</v>
      </c>
      <c r="J328">
        <f>YEAR(Data[[#This Row],[OrderDate]])</f>
        <v>2023</v>
      </c>
      <c r="K328" s="2">
        <f>MONTH(Data[[#This Row],[OrderDate]])</f>
        <v>8</v>
      </c>
      <c r="M328" s="12">
        <v>1473</v>
      </c>
      <c r="N328" s="21">
        <f>MAX(Data[OrderDate])-_xlfn.MAXIFS(Data[OrderDate],Data[CustomerID],M328)</f>
        <v>619</v>
      </c>
      <c r="O328" s="22">
        <f>COUNTIFS(Data[CustomerID], M328)</f>
        <v>2</v>
      </c>
      <c r="P328" s="23">
        <f>SUMIFS(Data[Amount], Data[CustomerID], M328)</f>
        <v>350.15000000000003</v>
      </c>
    </row>
    <row r="329" spans="1:16" x14ac:dyDescent="0.25">
      <c r="A329">
        <v>1466</v>
      </c>
      <c r="B329">
        <v>11</v>
      </c>
      <c r="C329" s="1">
        <v>45143</v>
      </c>
      <c r="D329">
        <v>476.56</v>
      </c>
      <c r="E329" t="s">
        <v>17</v>
      </c>
      <c r="F329" t="s">
        <v>18</v>
      </c>
      <c r="G329">
        <f>COUNTIF(Data[CustomerID], Data[[#This Row],[CustomerID]])</f>
        <v>1</v>
      </c>
      <c r="H329" s="1" t="str">
        <f>TEXT(Data[OrderDate],"yyyy-mmm")</f>
        <v>2023-Aug</v>
      </c>
      <c r="I329">
        <f>IF(
   COUNTIFS(
      Data[CustomerID], Data[[#This Row],[CustomerID]],
      Data[OrderDate], "&lt;" &amp; EOMONTH(Data[[#This Row],[OrderDate]], -1) + 1
   ) &gt; 0,
   1,
   0
)</f>
        <v>0</v>
      </c>
      <c r="J329">
        <f>YEAR(Data[[#This Row],[OrderDate]])</f>
        <v>2023</v>
      </c>
      <c r="K329" s="2">
        <f>MONTH(Data[[#This Row],[OrderDate]])</f>
        <v>8</v>
      </c>
      <c r="M329" s="12">
        <v>1009</v>
      </c>
      <c r="N329" s="21">
        <f>MAX(Data[OrderDate])-_xlfn.MAXIFS(Data[OrderDate],Data[CustomerID],M329)</f>
        <v>22</v>
      </c>
      <c r="O329" s="22">
        <f>COUNTIFS(Data[CustomerID], M329)</f>
        <v>1</v>
      </c>
      <c r="P329" s="23">
        <f>SUMIFS(Data[Amount], Data[CustomerID], M329)</f>
        <v>348.75</v>
      </c>
    </row>
    <row r="330" spans="1:16" x14ac:dyDescent="0.25">
      <c r="A330">
        <v>1188</v>
      </c>
      <c r="B330">
        <v>631</v>
      </c>
      <c r="C330" s="1">
        <v>45143</v>
      </c>
      <c r="D330">
        <v>440.51</v>
      </c>
      <c r="E330" t="s">
        <v>11</v>
      </c>
      <c r="F330" t="s">
        <v>10</v>
      </c>
      <c r="G330">
        <f>COUNTIF(Data[CustomerID], Data[[#This Row],[CustomerID]])</f>
        <v>1</v>
      </c>
      <c r="H330" s="1" t="str">
        <f>TEXT(Data[OrderDate],"yyyy-mmm")</f>
        <v>2023-Aug</v>
      </c>
      <c r="I330">
        <f>IF(
   COUNTIFS(
      Data[CustomerID], Data[[#This Row],[CustomerID]],
      Data[OrderDate], "&lt;" &amp; EOMONTH(Data[[#This Row],[OrderDate]], -1) + 1
   ) &gt; 0,
   1,
   0
)</f>
        <v>0</v>
      </c>
      <c r="J330">
        <f>YEAR(Data[[#This Row],[OrderDate]])</f>
        <v>2023</v>
      </c>
      <c r="K330" s="2">
        <f>MONTH(Data[[#This Row],[OrderDate]])</f>
        <v>8</v>
      </c>
      <c r="M330" s="12">
        <v>1727</v>
      </c>
      <c r="N330" s="21">
        <f>MAX(Data[OrderDate])-_xlfn.MAXIFS(Data[OrderDate],Data[CustomerID],M330)</f>
        <v>215</v>
      </c>
      <c r="O330" s="22">
        <f>COUNTIFS(Data[CustomerID], M330)</f>
        <v>1</v>
      </c>
      <c r="P330" s="23">
        <f>SUMIFS(Data[Amount], Data[CustomerID], M330)</f>
        <v>344.55</v>
      </c>
    </row>
    <row r="331" spans="1:16" x14ac:dyDescent="0.25">
      <c r="A331">
        <v>1008</v>
      </c>
      <c r="B331">
        <v>376</v>
      </c>
      <c r="C331" s="1">
        <v>45144</v>
      </c>
      <c r="D331">
        <v>487.21</v>
      </c>
      <c r="E331" t="s">
        <v>13</v>
      </c>
      <c r="F331" t="s">
        <v>10</v>
      </c>
      <c r="G331">
        <f>COUNTIF(Data[CustomerID], Data[[#This Row],[CustomerID]])</f>
        <v>2</v>
      </c>
      <c r="H331" s="1" t="str">
        <f>TEXT(Data[OrderDate],"yyyy-mmm")</f>
        <v>2023-Aug</v>
      </c>
      <c r="I331">
        <f>IF(
   COUNTIFS(
      Data[CustomerID], Data[[#This Row],[CustomerID]],
      Data[OrderDate], "&lt;" &amp; EOMONTH(Data[[#This Row],[OrderDate]], -1) + 1
   ) &gt; 0,
   1,
   0
)</f>
        <v>1</v>
      </c>
      <c r="J331">
        <f>YEAR(Data[[#This Row],[OrderDate]])</f>
        <v>2023</v>
      </c>
      <c r="K331" s="2">
        <f>MONTH(Data[[#This Row],[OrderDate]])</f>
        <v>8</v>
      </c>
      <c r="M331" s="12">
        <v>1879</v>
      </c>
      <c r="N331" s="21">
        <f>MAX(Data[OrderDate])-_xlfn.MAXIFS(Data[OrderDate],Data[CustomerID],M331)</f>
        <v>183</v>
      </c>
      <c r="O331" s="22">
        <f>COUNTIFS(Data[CustomerID], M331)</f>
        <v>1</v>
      </c>
      <c r="P331" s="23">
        <f>SUMIFS(Data[Amount], Data[CustomerID], M331)</f>
        <v>343.46</v>
      </c>
    </row>
    <row r="332" spans="1:16" x14ac:dyDescent="0.25">
      <c r="A332">
        <v>1880</v>
      </c>
      <c r="B332">
        <v>777</v>
      </c>
      <c r="C332" s="1">
        <v>45144</v>
      </c>
      <c r="D332">
        <v>361.4</v>
      </c>
      <c r="E332" t="s">
        <v>15</v>
      </c>
      <c r="F332" t="s">
        <v>19</v>
      </c>
      <c r="G332">
        <f>COUNTIF(Data[CustomerID], Data[[#This Row],[CustomerID]])</f>
        <v>2</v>
      </c>
      <c r="H332" s="1" t="str">
        <f>TEXT(Data[OrderDate],"yyyy-mmm")</f>
        <v>2023-Aug</v>
      </c>
      <c r="I332">
        <f>IF(
   COUNTIFS(
      Data[CustomerID], Data[[#This Row],[CustomerID]],
      Data[OrderDate], "&lt;" &amp; EOMONTH(Data[[#This Row],[OrderDate]], -1) + 1
   ) &gt; 0,
   1,
   0
)</f>
        <v>1</v>
      </c>
      <c r="J332">
        <f>YEAR(Data[[#This Row],[OrderDate]])</f>
        <v>2023</v>
      </c>
      <c r="K332" s="2">
        <f>MONTH(Data[[#This Row],[OrderDate]])</f>
        <v>8</v>
      </c>
      <c r="M332" s="12">
        <v>1106</v>
      </c>
      <c r="N332" s="21">
        <f>MAX(Data[OrderDate])-_xlfn.MAXIFS(Data[OrderDate],Data[CustomerID],M332)</f>
        <v>554</v>
      </c>
      <c r="O332" s="22">
        <f>COUNTIFS(Data[CustomerID], M332)</f>
        <v>1</v>
      </c>
      <c r="P332" s="23">
        <f>SUMIFS(Data[Amount], Data[CustomerID], M332)</f>
        <v>341.83</v>
      </c>
    </row>
    <row r="333" spans="1:16" x14ac:dyDescent="0.25">
      <c r="A333">
        <v>1744</v>
      </c>
      <c r="B333">
        <v>475</v>
      </c>
      <c r="C333" s="1">
        <v>45148</v>
      </c>
      <c r="D333">
        <v>205.38</v>
      </c>
      <c r="E333" t="s">
        <v>6</v>
      </c>
      <c r="F333" t="s">
        <v>19</v>
      </c>
      <c r="G333">
        <f>COUNTIF(Data[CustomerID], Data[[#This Row],[CustomerID]])</f>
        <v>2</v>
      </c>
      <c r="H333" s="1" t="str">
        <f>TEXT(Data[OrderDate],"yyyy-mmm")</f>
        <v>2023-Aug</v>
      </c>
      <c r="I333">
        <f>IF(
   COUNTIFS(
      Data[CustomerID], Data[[#This Row],[CustomerID]],
      Data[OrderDate], "&lt;" &amp; EOMONTH(Data[[#This Row],[OrderDate]], -1) + 1
   ) &gt; 0,
   1,
   0
)</f>
        <v>1</v>
      </c>
      <c r="J333">
        <f>YEAR(Data[[#This Row],[OrderDate]])</f>
        <v>2023</v>
      </c>
      <c r="K333" s="2">
        <f>MONTH(Data[[#This Row],[OrderDate]])</f>
        <v>8</v>
      </c>
      <c r="M333" s="12">
        <v>1778</v>
      </c>
      <c r="N333" s="21">
        <f>MAX(Data[OrderDate])-_xlfn.MAXIFS(Data[OrderDate],Data[CustomerID],M333)</f>
        <v>685</v>
      </c>
      <c r="O333" s="22">
        <f>COUNTIFS(Data[CustomerID], M333)</f>
        <v>1</v>
      </c>
      <c r="P333" s="23">
        <f>SUMIFS(Data[Amount], Data[CustomerID], M333)</f>
        <v>341.67</v>
      </c>
    </row>
    <row r="334" spans="1:16" x14ac:dyDescent="0.25">
      <c r="A334">
        <v>1504</v>
      </c>
      <c r="B334">
        <v>903</v>
      </c>
      <c r="C334" s="1">
        <v>45148</v>
      </c>
      <c r="D334">
        <v>404.07</v>
      </c>
      <c r="E334" t="s">
        <v>17</v>
      </c>
      <c r="F334" t="s">
        <v>10</v>
      </c>
      <c r="G334">
        <f>COUNTIF(Data[CustomerID], Data[[#This Row],[CustomerID]])</f>
        <v>2</v>
      </c>
      <c r="H334" s="1" t="str">
        <f>TEXT(Data[OrderDate],"yyyy-mmm")</f>
        <v>2023-Aug</v>
      </c>
      <c r="I334">
        <f>IF(
   COUNTIFS(
      Data[CustomerID], Data[[#This Row],[CustomerID]],
      Data[OrderDate], "&lt;" &amp; EOMONTH(Data[[#This Row],[OrderDate]], -1) + 1
   ) &gt; 0,
   1,
   0
)</f>
        <v>1</v>
      </c>
      <c r="J334">
        <f>YEAR(Data[[#This Row],[OrderDate]])</f>
        <v>2023</v>
      </c>
      <c r="K334" s="2">
        <f>MONTH(Data[[#This Row],[OrderDate]])</f>
        <v>8</v>
      </c>
      <c r="M334" s="12">
        <v>1349</v>
      </c>
      <c r="N334" s="21">
        <f>MAX(Data[OrderDate])-_xlfn.MAXIFS(Data[OrderDate],Data[CustomerID],M334)</f>
        <v>15</v>
      </c>
      <c r="O334" s="22">
        <f>COUNTIFS(Data[CustomerID], M334)</f>
        <v>1</v>
      </c>
      <c r="P334" s="23">
        <f>SUMIFS(Data[Amount], Data[CustomerID], M334)</f>
        <v>339.61</v>
      </c>
    </row>
    <row r="335" spans="1:16" x14ac:dyDescent="0.25">
      <c r="A335">
        <v>1573</v>
      </c>
      <c r="B335">
        <v>221</v>
      </c>
      <c r="C335" s="1">
        <v>45149</v>
      </c>
      <c r="D335">
        <v>151.94999999999999</v>
      </c>
      <c r="E335" t="s">
        <v>11</v>
      </c>
      <c r="F335" t="s">
        <v>18</v>
      </c>
      <c r="G335">
        <f>COUNTIF(Data[CustomerID], Data[[#This Row],[CustomerID]])</f>
        <v>2</v>
      </c>
      <c r="H335" s="1" t="str">
        <f>TEXT(Data[OrderDate],"yyyy-mmm")</f>
        <v>2023-Aug</v>
      </c>
      <c r="I335">
        <f>IF(
   COUNTIFS(
      Data[CustomerID], Data[[#This Row],[CustomerID]],
      Data[OrderDate], "&lt;" &amp; EOMONTH(Data[[#This Row],[OrderDate]], -1) + 1
   ) &gt; 0,
   1,
   0
)</f>
        <v>0</v>
      </c>
      <c r="J335">
        <f>YEAR(Data[[#This Row],[OrderDate]])</f>
        <v>2023</v>
      </c>
      <c r="K335" s="2">
        <f>MONTH(Data[[#This Row],[OrderDate]])</f>
        <v>8</v>
      </c>
      <c r="M335" s="12">
        <v>1325</v>
      </c>
      <c r="N335" s="21">
        <f>MAX(Data[OrderDate])-_xlfn.MAXIFS(Data[OrderDate],Data[CustomerID],M335)</f>
        <v>200</v>
      </c>
      <c r="O335" s="22">
        <f>COUNTIFS(Data[CustomerID], M335)</f>
        <v>1</v>
      </c>
      <c r="P335" s="23">
        <f>SUMIFS(Data[Amount], Data[CustomerID], M335)</f>
        <v>339.54</v>
      </c>
    </row>
    <row r="336" spans="1:16" x14ac:dyDescent="0.25">
      <c r="A336">
        <v>1791</v>
      </c>
      <c r="B336">
        <v>686</v>
      </c>
      <c r="C336" s="1">
        <v>45149</v>
      </c>
      <c r="D336">
        <v>189.86</v>
      </c>
      <c r="E336" t="s">
        <v>20</v>
      </c>
      <c r="F336" t="s">
        <v>19</v>
      </c>
      <c r="G336">
        <f>COUNTIF(Data[CustomerID], Data[[#This Row],[CustomerID]])</f>
        <v>3</v>
      </c>
      <c r="H336" s="1" t="str">
        <f>TEXT(Data[OrderDate],"yyyy-mmm")</f>
        <v>2023-Aug</v>
      </c>
      <c r="I336">
        <f>IF(
   COUNTIFS(
      Data[CustomerID], Data[[#This Row],[CustomerID]],
      Data[OrderDate], "&lt;" &amp; EOMONTH(Data[[#This Row],[OrderDate]], -1) + 1
   ) &gt; 0,
   1,
   0
)</f>
        <v>1</v>
      </c>
      <c r="J336">
        <f>YEAR(Data[[#This Row],[OrderDate]])</f>
        <v>2023</v>
      </c>
      <c r="K336" s="2">
        <f>MONTH(Data[[#This Row],[OrderDate]])</f>
        <v>8</v>
      </c>
      <c r="M336" s="12">
        <v>1075</v>
      </c>
      <c r="N336" s="21">
        <f>MAX(Data[OrderDate])-_xlfn.MAXIFS(Data[OrderDate],Data[CustomerID],M336)</f>
        <v>555</v>
      </c>
      <c r="O336" s="22">
        <f>COUNTIFS(Data[CustomerID], M336)</f>
        <v>2</v>
      </c>
      <c r="P336" s="23">
        <f>SUMIFS(Data[Amount], Data[CustomerID], M336)</f>
        <v>339.24</v>
      </c>
    </row>
    <row r="337" spans="1:16" x14ac:dyDescent="0.25">
      <c r="A337">
        <v>1219</v>
      </c>
      <c r="B337">
        <v>888</v>
      </c>
      <c r="C337" s="1">
        <v>45149</v>
      </c>
      <c r="D337">
        <v>410.53</v>
      </c>
      <c r="E337" t="s">
        <v>13</v>
      </c>
      <c r="F337" t="s">
        <v>10</v>
      </c>
      <c r="G337">
        <f>COUNTIF(Data[CustomerID], Data[[#This Row],[CustomerID]])</f>
        <v>4</v>
      </c>
      <c r="H337" s="1" t="str">
        <f>TEXT(Data[OrderDate],"yyyy-mmm")</f>
        <v>2023-Aug</v>
      </c>
      <c r="I337">
        <f>IF(
   COUNTIFS(
      Data[CustomerID], Data[[#This Row],[CustomerID]],
      Data[OrderDate], "&lt;" &amp; EOMONTH(Data[[#This Row],[OrderDate]], -1) + 1
   ) &gt; 0,
   1,
   0
)</f>
        <v>1</v>
      </c>
      <c r="J337">
        <f>YEAR(Data[[#This Row],[OrderDate]])</f>
        <v>2023</v>
      </c>
      <c r="K337" s="2">
        <f>MONTH(Data[[#This Row],[OrderDate]])</f>
        <v>8</v>
      </c>
      <c r="M337" s="12">
        <v>1255</v>
      </c>
      <c r="N337" s="21">
        <f>MAX(Data[OrderDate])-_xlfn.MAXIFS(Data[OrderDate],Data[CustomerID],M337)</f>
        <v>372</v>
      </c>
      <c r="O337" s="22">
        <f>COUNTIFS(Data[CustomerID], M337)</f>
        <v>2</v>
      </c>
      <c r="P337" s="23">
        <f>SUMIFS(Data[Amount], Data[CustomerID], M337)</f>
        <v>337.66</v>
      </c>
    </row>
    <row r="338" spans="1:16" x14ac:dyDescent="0.25">
      <c r="A338">
        <v>1071</v>
      </c>
      <c r="B338">
        <v>6</v>
      </c>
      <c r="C338" s="1">
        <v>45150</v>
      </c>
      <c r="D338">
        <v>200.79</v>
      </c>
      <c r="E338" t="s">
        <v>15</v>
      </c>
      <c r="F338" t="s">
        <v>10</v>
      </c>
      <c r="G338">
        <f>COUNTIF(Data[CustomerID], Data[[#This Row],[CustomerID]])</f>
        <v>1</v>
      </c>
      <c r="H338" s="1" t="str">
        <f>TEXT(Data[OrderDate],"yyyy-mmm")</f>
        <v>2023-Aug</v>
      </c>
      <c r="I338">
        <f>IF(
   COUNTIFS(
      Data[CustomerID], Data[[#This Row],[CustomerID]],
      Data[OrderDate], "&lt;" &amp; EOMONTH(Data[[#This Row],[OrderDate]], -1) + 1
   ) &gt; 0,
   1,
   0
)</f>
        <v>0</v>
      </c>
      <c r="J338">
        <f>YEAR(Data[[#This Row],[OrderDate]])</f>
        <v>2023</v>
      </c>
      <c r="K338" s="2">
        <f>MONTH(Data[[#This Row],[OrderDate]])</f>
        <v>8</v>
      </c>
      <c r="M338" s="12">
        <v>1207</v>
      </c>
      <c r="N338" s="21">
        <f>MAX(Data[OrderDate])-_xlfn.MAXIFS(Data[OrderDate],Data[CustomerID],M338)</f>
        <v>84</v>
      </c>
      <c r="O338" s="22">
        <f>COUNTIFS(Data[CustomerID], M338)</f>
        <v>1</v>
      </c>
      <c r="P338" s="23">
        <f>SUMIFS(Data[Amount], Data[CustomerID], M338)</f>
        <v>337.42</v>
      </c>
    </row>
    <row r="339" spans="1:16" x14ac:dyDescent="0.25">
      <c r="A339">
        <v>1657</v>
      </c>
      <c r="B339">
        <v>832</v>
      </c>
      <c r="C339" s="1">
        <v>45150</v>
      </c>
      <c r="D339">
        <v>97.43</v>
      </c>
      <c r="E339" t="s">
        <v>17</v>
      </c>
      <c r="F339" t="s">
        <v>16</v>
      </c>
      <c r="G339">
        <f>COUNTIF(Data[CustomerID], Data[[#This Row],[CustomerID]])</f>
        <v>1</v>
      </c>
      <c r="H339" s="1" t="str">
        <f>TEXT(Data[OrderDate],"yyyy-mmm")</f>
        <v>2023-Aug</v>
      </c>
      <c r="I339">
        <f>IF(
   COUNTIFS(
      Data[CustomerID], Data[[#This Row],[CustomerID]],
      Data[OrderDate], "&lt;" &amp; EOMONTH(Data[[#This Row],[OrderDate]], -1) + 1
   ) &gt; 0,
   1,
   0
)</f>
        <v>0</v>
      </c>
      <c r="J339">
        <f>YEAR(Data[[#This Row],[OrderDate]])</f>
        <v>2023</v>
      </c>
      <c r="K339" s="2">
        <f>MONTH(Data[[#This Row],[OrderDate]])</f>
        <v>8</v>
      </c>
      <c r="M339" s="12">
        <v>1438</v>
      </c>
      <c r="N339" s="21">
        <f>MAX(Data[OrderDate])-_xlfn.MAXIFS(Data[OrderDate],Data[CustomerID],M339)</f>
        <v>174</v>
      </c>
      <c r="O339" s="22">
        <f>COUNTIFS(Data[CustomerID], M339)</f>
        <v>1</v>
      </c>
      <c r="P339" s="23">
        <f>SUMIFS(Data[Amount], Data[CustomerID], M339)</f>
        <v>337.36</v>
      </c>
    </row>
    <row r="340" spans="1:16" x14ac:dyDescent="0.25">
      <c r="A340">
        <v>1857</v>
      </c>
      <c r="B340">
        <v>880</v>
      </c>
      <c r="C340" s="1">
        <v>45150</v>
      </c>
      <c r="D340">
        <v>459.51</v>
      </c>
      <c r="E340" t="s">
        <v>8</v>
      </c>
      <c r="F340" t="s">
        <v>16</v>
      </c>
      <c r="G340">
        <f>COUNTIF(Data[CustomerID], Data[[#This Row],[CustomerID]])</f>
        <v>2</v>
      </c>
      <c r="H340" s="1" t="str">
        <f>TEXT(Data[OrderDate],"yyyy-mmm")</f>
        <v>2023-Aug</v>
      </c>
      <c r="I340">
        <f>IF(
   COUNTIFS(
      Data[CustomerID], Data[[#This Row],[CustomerID]],
      Data[OrderDate], "&lt;" &amp; EOMONTH(Data[[#This Row],[OrderDate]], -1) + 1
   ) &gt; 0,
   1,
   0
)</f>
        <v>0</v>
      </c>
      <c r="J340">
        <f>YEAR(Data[[#This Row],[OrderDate]])</f>
        <v>2023</v>
      </c>
      <c r="K340" s="2">
        <f>MONTH(Data[[#This Row],[OrderDate]])</f>
        <v>8</v>
      </c>
      <c r="M340" s="12">
        <v>1819</v>
      </c>
      <c r="N340" s="21">
        <f>MAX(Data[OrderDate])-_xlfn.MAXIFS(Data[OrderDate],Data[CustomerID],M340)</f>
        <v>102</v>
      </c>
      <c r="O340" s="22">
        <f>COUNTIFS(Data[CustomerID], M340)</f>
        <v>2</v>
      </c>
      <c r="P340" s="23">
        <f>SUMIFS(Data[Amount], Data[CustomerID], M340)</f>
        <v>336.94</v>
      </c>
    </row>
    <row r="341" spans="1:16" x14ac:dyDescent="0.25">
      <c r="A341">
        <v>1386</v>
      </c>
      <c r="B341">
        <v>899</v>
      </c>
      <c r="C341" s="1">
        <v>45150</v>
      </c>
      <c r="D341">
        <v>308.82</v>
      </c>
      <c r="E341" t="s">
        <v>20</v>
      </c>
      <c r="F341" t="s">
        <v>19</v>
      </c>
      <c r="G341">
        <f>COUNTIF(Data[CustomerID], Data[[#This Row],[CustomerID]])</f>
        <v>2</v>
      </c>
      <c r="H341" s="1" t="str">
        <f>TEXT(Data[OrderDate],"yyyy-mmm")</f>
        <v>2023-Aug</v>
      </c>
      <c r="I341">
        <f>IF(
   COUNTIFS(
      Data[CustomerID], Data[[#This Row],[CustomerID]],
      Data[OrderDate], "&lt;" &amp; EOMONTH(Data[[#This Row],[OrderDate]], -1) + 1
   ) &gt; 0,
   1,
   0
)</f>
        <v>0</v>
      </c>
      <c r="J341">
        <f>YEAR(Data[[#This Row],[OrderDate]])</f>
        <v>2023</v>
      </c>
      <c r="K341" s="2">
        <f>MONTH(Data[[#This Row],[OrderDate]])</f>
        <v>8</v>
      </c>
      <c r="M341" s="12">
        <v>1343</v>
      </c>
      <c r="N341" s="21">
        <f>MAX(Data[OrderDate])-_xlfn.MAXIFS(Data[OrderDate],Data[CustomerID],M341)</f>
        <v>677</v>
      </c>
      <c r="O341" s="22">
        <f>COUNTIFS(Data[CustomerID], M341)</f>
        <v>2</v>
      </c>
      <c r="P341" s="23">
        <f>SUMIFS(Data[Amount], Data[CustomerID], M341)</f>
        <v>336.85</v>
      </c>
    </row>
    <row r="342" spans="1:16" x14ac:dyDescent="0.25">
      <c r="A342">
        <v>1632</v>
      </c>
      <c r="B342">
        <v>243</v>
      </c>
      <c r="C342" s="1">
        <v>45151</v>
      </c>
      <c r="D342">
        <v>58.91</v>
      </c>
      <c r="E342" t="s">
        <v>17</v>
      </c>
      <c r="F342" t="s">
        <v>19</v>
      </c>
      <c r="G342">
        <f>COUNTIF(Data[CustomerID], Data[[#This Row],[CustomerID]])</f>
        <v>1</v>
      </c>
      <c r="H342" s="1" t="str">
        <f>TEXT(Data[OrderDate],"yyyy-mmm")</f>
        <v>2023-Aug</v>
      </c>
      <c r="I342">
        <f>IF(
   COUNTIFS(
      Data[CustomerID], Data[[#This Row],[CustomerID]],
      Data[OrderDate], "&lt;" &amp; EOMONTH(Data[[#This Row],[OrderDate]], -1) + 1
   ) &gt; 0,
   1,
   0
)</f>
        <v>0</v>
      </c>
      <c r="J342">
        <f>YEAR(Data[[#This Row],[OrderDate]])</f>
        <v>2023</v>
      </c>
      <c r="K342" s="2">
        <f>MONTH(Data[[#This Row],[OrderDate]])</f>
        <v>8</v>
      </c>
      <c r="M342" s="12">
        <v>1421</v>
      </c>
      <c r="N342" s="21">
        <f>MAX(Data[OrderDate])-_xlfn.MAXIFS(Data[OrderDate],Data[CustomerID],M342)</f>
        <v>7</v>
      </c>
      <c r="O342" s="22">
        <f>COUNTIFS(Data[CustomerID], M342)</f>
        <v>2</v>
      </c>
      <c r="P342" s="23">
        <f>SUMIFS(Data[Amount], Data[CustomerID], M342)</f>
        <v>336.45000000000005</v>
      </c>
    </row>
    <row r="343" spans="1:16" x14ac:dyDescent="0.25">
      <c r="A343">
        <v>1883</v>
      </c>
      <c r="B343">
        <v>314</v>
      </c>
      <c r="C343" s="1">
        <v>45151</v>
      </c>
      <c r="D343">
        <v>270</v>
      </c>
      <c r="E343" t="s">
        <v>13</v>
      </c>
      <c r="F343" t="s">
        <v>16</v>
      </c>
      <c r="G343">
        <f>COUNTIF(Data[CustomerID], Data[[#This Row],[CustomerID]])</f>
        <v>2</v>
      </c>
      <c r="H343" s="1" t="str">
        <f>TEXT(Data[OrderDate],"yyyy-mmm")</f>
        <v>2023-Aug</v>
      </c>
      <c r="I343">
        <f>IF(
   COUNTIFS(
      Data[CustomerID], Data[[#This Row],[CustomerID]],
      Data[OrderDate], "&lt;" &amp; EOMONTH(Data[[#This Row],[OrderDate]], -1) + 1
   ) &gt; 0,
   1,
   0
)</f>
        <v>0</v>
      </c>
      <c r="J343">
        <f>YEAR(Data[[#This Row],[OrderDate]])</f>
        <v>2023</v>
      </c>
      <c r="K343" s="2">
        <f>MONTH(Data[[#This Row],[OrderDate]])</f>
        <v>8</v>
      </c>
      <c r="M343" s="12">
        <v>1134</v>
      </c>
      <c r="N343" s="21">
        <f>MAX(Data[OrderDate])-_xlfn.MAXIFS(Data[OrderDate],Data[CustomerID],M343)</f>
        <v>60</v>
      </c>
      <c r="O343" s="22">
        <f>COUNTIFS(Data[CustomerID], M343)</f>
        <v>2</v>
      </c>
      <c r="P343" s="23">
        <f>SUMIFS(Data[Amount], Data[CustomerID], M343)</f>
        <v>335.73999999999995</v>
      </c>
    </row>
    <row r="344" spans="1:16" x14ac:dyDescent="0.25">
      <c r="A344">
        <v>1902</v>
      </c>
      <c r="B344">
        <v>535</v>
      </c>
      <c r="C344" s="1">
        <v>45152</v>
      </c>
      <c r="D344">
        <v>374.37</v>
      </c>
      <c r="E344" t="s">
        <v>6</v>
      </c>
      <c r="F344" t="s">
        <v>14</v>
      </c>
      <c r="G344">
        <f>COUNTIF(Data[CustomerID], Data[[#This Row],[CustomerID]])</f>
        <v>2</v>
      </c>
      <c r="H344" s="1" t="str">
        <f>TEXT(Data[OrderDate],"yyyy-mmm")</f>
        <v>2023-Aug</v>
      </c>
      <c r="I344">
        <f>IF(
   COUNTIFS(
      Data[CustomerID], Data[[#This Row],[CustomerID]],
      Data[OrderDate], "&lt;" &amp; EOMONTH(Data[[#This Row],[OrderDate]], -1) + 1
   ) &gt; 0,
   1,
   0
)</f>
        <v>0</v>
      </c>
      <c r="J344">
        <f>YEAR(Data[[#This Row],[OrderDate]])</f>
        <v>2023</v>
      </c>
      <c r="K344" s="2">
        <f>MONTH(Data[[#This Row],[OrderDate]])</f>
        <v>8</v>
      </c>
      <c r="M344" s="12">
        <v>1731</v>
      </c>
      <c r="N344" s="21">
        <f>MAX(Data[OrderDate])-_xlfn.MAXIFS(Data[OrderDate],Data[CustomerID],M344)</f>
        <v>138</v>
      </c>
      <c r="O344" s="22">
        <f>COUNTIFS(Data[CustomerID], M344)</f>
        <v>2</v>
      </c>
      <c r="P344" s="23">
        <f>SUMIFS(Data[Amount], Data[CustomerID], M344)</f>
        <v>334.49</v>
      </c>
    </row>
    <row r="345" spans="1:16" x14ac:dyDescent="0.25">
      <c r="A345">
        <v>1662</v>
      </c>
      <c r="B345">
        <v>763</v>
      </c>
      <c r="C345" s="1">
        <v>45152</v>
      </c>
      <c r="D345">
        <v>414.79</v>
      </c>
      <c r="E345" t="s">
        <v>6</v>
      </c>
      <c r="F345" t="s">
        <v>7</v>
      </c>
      <c r="G345">
        <f>COUNTIF(Data[CustomerID], Data[[#This Row],[CustomerID]])</f>
        <v>2</v>
      </c>
      <c r="H345" s="1" t="str">
        <f>TEXT(Data[OrderDate],"yyyy-mmm")</f>
        <v>2023-Aug</v>
      </c>
      <c r="I345">
        <f>IF(
   COUNTIFS(
      Data[CustomerID], Data[[#This Row],[CustomerID]],
      Data[OrderDate], "&lt;" &amp; EOMONTH(Data[[#This Row],[OrderDate]], -1) + 1
   ) &gt; 0,
   1,
   0
)</f>
        <v>0</v>
      </c>
      <c r="J345">
        <f>YEAR(Data[[#This Row],[OrderDate]])</f>
        <v>2023</v>
      </c>
      <c r="K345" s="2">
        <f>MONTH(Data[[#This Row],[OrderDate]])</f>
        <v>8</v>
      </c>
      <c r="M345" s="12">
        <v>1264</v>
      </c>
      <c r="N345" s="21">
        <f>MAX(Data[OrderDate])-_xlfn.MAXIFS(Data[OrderDate],Data[CustomerID],M345)</f>
        <v>484</v>
      </c>
      <c r="O345" s="22">
        <f>COUNTIFS(Data[CustomerID], M345)</f>
        <v>1</v>
      </c>
      <c r="P345" s="23">
        <f>SUMIFS(Data[Amount], Data[CustomerID], M345)</f>
        <v>333.77</v>
      </c>
    </row>
    <row r="346" spans="1:16" x14ac:dyDescent="0.25">
      <c r="A346">
        <v>1272</v>
      </c>
      <c r="B346">
        <v>776</v>
      </c>
      <c r="C346" s="1">
        <v>45152</v>
      </c>
      <c r="D346">
        <v>15.91</v>
      </c>
      <c r="E346" t="s">
        <v>20</v>
      </c>
      <c r="F346" t="s">
        <v>12</v>
      </c>
      <c r="G346">
        <f>COUNTIF(Data[CustomerID], Data[[#This Row],[CustomerID]])</f>
        <v>1</v>
      </c>
      <c r="H346" s="1" t="str">
        <f>TEXT(Data[OrderDate],"yyyy-mmm")</f>
        <v>2023-Aug</v>
      </c>
      <c r="I346">
        <f>IF(
   COUNTIFS(
      Data[CustomerID], Data[[#This Row],[CustomerID]],
      Data[OrderDate], "&lt;" &amp; EOMONTH(Data[[#This Row],[OrderDate]], -1) + 1
   ) &gt; 0,
   1,
   0
)</f>
        <v>0</v>
      </c>
      <c r="J346">
        <f>YEAR(Data[[#This Row],[OrderDate]])</f>
        <v>2023</v>
      </c>
      <c r="K346" s="2">
        <f>MONTH(Data[[#This Row],[OrderDate]])</f>
        <v>8</v>
      </c>
      <c r="M346" s="12">
        <v>1744</v>
      </c>
      <c r="N346" s="21">
        <f>MAX(Data[OrderDate])-_xlfn.MAXIFS(Data[OrderDate],Data[CustomerID],M346)</f>
        <v>478</v>
      </c>
      <c r="O346" s="22">
        <f>COUNTIFS(Data[CustomerID], M346)</f>
        <v>2</v>
      </c>
      <c r="P346" s="23">
        <f>SUMIFS(Data[Amount], Data[CustomerID], M346)</f>
        <v>332.18</v>
      </c>
    </row>
    <row r="347" spans="1:16" x14ac:dyDescent="0.25">
      <c r="A347">
        <v>1038</v>
      </c>
      <c r="B347">
        <v>817</v>
      </c>
      <c r="C347" s="1">
        <v>45152</v>
      </c>
      <c r="D347">
        <v>282.29000000000002</v>
      </c>
      <c r="E347" t="s">
        <v>13</v>
      </c>
      <c r="F347" t="s">
        <v>14</v>
      </c>
      <c r="G347">
        <f>COUNTIF(Data[CustomerID], Data[[#This Row],[CustomerID]])</f>
        <v>3</v>
      </c>
      <c r="H347" s="1" t="str">
        <f>TEXT(Data[OrderDate],"yyyy-mmm")</f>
        <v>2023-Aug</v>
      </c>
      <c r="I347">
        <f>IF(
   COUNTIFS(
      Data[CustomerID], Data[[#This Row],[CustomerID]],
      Data[OrderDate], "&lt;" &amp; EOMONTH(Data[[#This Row],[OrderDate]], -1) + 1
   ) &gt; 0,
   1,
   0
)</f>
        <v>1</v>
      </c>
      <c r="J347">
        <f>YEAR(Data[[#This Row],[OrderDate]])</f>
        <v>2023</v>
      </c>
      <c r="K347" s="2">
        <f>MONTH(Data[[#This Row],[OrderDate]])</f>
        <v>8</v>
      </c>
      <c r="M347" s="12">
        <v>1216</v>
      </c>
      <c r="N347" s="21">
        <f>MAX(Data[OrderDate])-_xlfn.MAXIFS(Data[OrderDate],Data[CustomerID],M347)</f>
        <v>165</v>
      </c>
      <c r="O347" s="22">
        <f>COUNTIFS(Data[CustomerID], M347)</f>
        <v>3</v>
      </c>
      <c r="P347" s="23">
        <f>SUMIFS(Data[Amount], Data[CustomerID], M347)</f>
        <v>332.16999999999996</v>
      </c>
    </row>
    <row r="348" spans="1:16" x14ac:dyDescent="0.25">
      <c r="A348">
        <v>1950</v>
      </c>
      <c r="B348">
        <v>605</v>
      </c>
      <c r="C348" s="1">
        <v>45153</v>
      </c>
      <c r="D348">
        <v>272.08</v>
      </c>
      <c r="E348" t="s">
        <v>8</v>
      </c>
      <c r="F348" t="s">
        <v>18</v>
      </c>
      <c r="G348">
        <f>COUNTIF(Data[CustomerID], Data[[#This Row],[CustomerID]])</f>
        <v>1</v>
      </c>
      <c r="H348" s="1" t="str">
        <f>TEXT(Data[OrderDate],"yyyy-mmm")</f>
        <v>2023-Aug</v>
      </c>
      <c r="I348">
        <f>IF(
   COUNTIFS(
      Data[CustomerID], Data[[#This Row],[CustomerID]],
      Data[OrderDate], "&lt;" &amp; EOMONTH(Data[[#This Row],[OrderDate]], -1) + 1
   ) &gt; 0,
   1,
   0
)</f>
        <v>0</v>
      </c>
      <c r="J348">
        <f>YEAR(Data[[#This Row],[OrderDate]])</f>
        <v>2023</v>
      </c>
      <c r="K348" s="2">
        <f>MONTH(Data[[#This Row],[OrderDate]])</f>
        <v>8</v>
      </c>
      <c r="M348" s="12">
        <v>1686</v>
      </c>
      <c r="N348" s="21">
        <f>MAX(Data[OrderDate])-_xlfn.MAXIFS(Data[OrderDate],Data[CustomerID],M348)</f>
        <v>432</v>
      </c>
      <c r="O348" s="22">
        <f>COUNTIFS(Data[CustomerID], M348)</f>
        <v>1</v>
      </c>
      <c r="P348" s="23">
        <f>SUMIFS(Data[Amount], Data[CustomerID], M348)</f>
        <v>332.11</v>
      </c>
    </row>
    <row r="349" spans="1:16" x14ac:dyDescent="0.25">
      <c r="A349">
        <v>1212</v>
      </c>
      <c r="B349">
        <v>923</v>
      </c>
      <c r="C349" s="1">
        <v>45153</v>
      </c>
      <c r="D349">
        <v>207.11</v>
      </c>
      <c r="E349" t="s">
        <v>15</v>
      </c>
      <c r="F349" t="s">
        <v>10</v>
      </c>
      <c r="G349">
        <f>COUNTIF(Data[CustomerID], Data[[#This Row],[CustomerID]])</f>
        <v>1</v>
      </c>
      <c r="H349" s="1" t="str">
        <f>TEXT(Data[OrderDate],"yyyy-mmm")</f>
        <v>2023-Aug</v>
      </c>
      <c r="I349">
        <f>IF(
   COUNTIFS(
      Data[CustomerID], Data[[#This Row],[CustomerID]],
      Data[OrderDate], "&lt;" &amp; EOMONTH(Data[[#This Row],[OrderDate]], -1) + 1
   ) &gt; 0,
   1,
   0
)</f>
        <v>0</v>
      </c>
      <c r="J349">
        <f>YEAR(Data[[#This Row],[OrderDate]])</f>
        <v>2023</v>
      </c>
      <c r="K349" s="2">
        <f>MONTH(Data[[#This Row],[OrderDate]])</f>
        <v>8</v>
      </c>
      <c r="M349" s="12">
        <v>1824</v>
      </c>
      <c r="N349" s="21">
        <f>MAX(Data[OrderDate])-_xlfn.MAXIFS(Data[OrderDate],Data[CustomerID],M349)</f>
        <v>647</v>
      </c>
      <c r="O349" s="22">
        <f>COUNTIFS(Data[CustomerID], M349)</f>
        <v>1</v>
      </c>
      <c r="P349" s="23">
        <f>SUMIFS(Data[Amount], Data[CustomerID], M349)</f>
        <v>331.22</v>
      </c>
    </row>
    <row r="350" spans="1:16" x14ac:dyDescent="0.25">
      <c r="A350">
        <v>1870</v>
      </c>
      <c r="B350">
        <v>185</v>
      </c>
      <c r="C350" s="1">
        <v>45154</v>
      </c>
      <c r="D350">
        <v>131.38</v>
      </c>
      <c r="E350" t="s">
        <v>6</v>
      </c>
      <c r="F350" t="s">
        <v>12</v>
      </c>
      <c r="G350">
        <f>COUNTIF(Data[CustomerID], Data[[#This Row],[CustomerID]])</f>
        <v>1</v>
      </c>
      <c r="H350" s="1" t="str">
        <f>TEXT(Data[OrderDate],"yyyy-mmm")</f>
        <v>2023-Aug</v>
      </c>
      <c r="I350">
        <f>IF(
   COUNTIFS(
      Data[CustomerID], Data[[#This Row],[CustomerID]],
      Data[OrderDate], "&lt;" &amp; EOMONTH(Data[[#This Row],[OrderDate]], -1) + 1
   ) &gt; 0,
   1,
   0
)</f>
        <v>0</v>
      </c>
      <c r="J350">
        <f>YEAR(Data[[#This Row],[OrderDate]])</f>
        <v>2023</v>
      </c>
      <c r="K350" s="2">
        <f>MONTH(Data[[#This Row],[OrderDate]])</f>
        <v>8</v>
      </c>
      <c r="M350" s="12">
        <v>1557</v>
      </c>
      <c r="N350" s="21">
        <f>MAX(Data[OrderDate])-_xlfn.MAXIFS(Data[OrderDate],Data[CustomerID],M350)</f>
        <v>7</v>
      </c>
      <c r="O350" s="22">
        <f>COUNTIFS(Data[CustomerID], M350)</f>
        <v>1</v>
      </c>
      <c r="P350" s="23">
        <f>SUMIFS(Data[Amount], Data[CustomerID], M350)</f>
        <v>331.12</v>
      </c>
    </row>
    <row r="351" spans="1:16" x14ac:dyDescent="0.25">
      <c r="A351">
        <v>1337</v>
      </c>
      <c r="B351">
        <v>348</v>
      </c>
      <c r="C351" s="1">
        <v>45154</v>
      </c>
      <c r="D351">
        <v>321.88</v>
      </c>
      <c r="E351" t="s">
        <v>9</v>
      </c>
      <c r="F351" t="s">
        <v>10</v>
      </c>
      <c r="G351">
        <f>COUNTIF(Data[CustomerID], Data[[#This Row],[CustomerID]])</f>
        <v>3</v>
      </c>
      <c r="H351" s="1" t="str">
        <f>TEXT(Data[OrderDate],"yyyy-mmm")</f>
        <v>2023-Aug</v>
      </c>
      <c r="I351">
        <f>IF(
   COUNTIFS(
      Data[CustomerID], Data[[#This Row],[CustomerID]],
      Data[OrderDate], "&lt;" &amp; EOMONTH(Data[[#This Row],[OrderDate]], -1) + 1
   ) &gt; 0,
   1,
   0
)</f>
        <v>0</v>
      </c>
      <c r="J351">
        <f>YEAR(Data[[#This Row],[OrderDate]])</f>
        <v>2023</v>
      </c>
      <c r="K351" s="2">
        <f>MONTH(Data[[#This Row],[OrderDate]])</f>
        <v>8</v>
      </c>
      <c r="M351" s="12">
        <v>1614</v>
      </c>
      <c r="N351" s="21">
        <f>MAX(Data[OrderDate])-_xlfn.MAXIFS(Data[OrderDate],Data[CustomerID],M351)</f>
        <v>418</v>
      </c>
      <c r="O351" s="22">
        <f>COUNTIFS(Data[CustomerID], M351)</f>
        <v>1</v>
      </c>
      <c r="P351" s="23">
        <f>SUMIFS(Data[Amount], Data[CustomerID], M351)</f>
        <v>330.21</v>
      </c>
    </row>
    <row r="352" spans="1:16" x14ac:dyDescent="0.25">
      <c r="A352">
        <v>1130</v>
      </c>
      <c r="B352">
        <v>58</v>
      </c>
      <c r="C352" s="1">
        <v>45155</v>
      </c>
      <c r="D352">
        <v>363.79</v>
      </c>
      <c r="E352" t="s">
        <v>6</v>
      </c>
      <c r="F352" t="s">
        <v>10</v>
      </c>
      <c r="G352">
        <f>COUNTIF(Data[CustomerID], Data[[#This Row],[CustomerID]])</f>
        <v>3</v>
      </c>
      <c r="H352" s="1" t="str">
        <f>TEXT(Data[OrderDate],"yyyy-mmm")</f>
        <v>2023-Aug</v>
      </c>
      <c r="I352">
        <f>IF(
   COUNTIFS(
      Data[CustomerID], Data[[#This Row],[CustomerID]],
      Data[OrderDate], "&lt;" &amp; EOMONTH(Data[[#This Row],[OrderDate]], -1) + 1
   ) &gt; 0,
   1,
   0
)</f>
        <v>0</v>
      </c>
      <c r="J352">
        <f>YEAR(Data[[#This Row],[OrderDate]])</f>
        <v>2023</v>
      </c>
      <c r="K352" s="2">
        <f>MONTH(Data[[#This Row],[OrderDate]])</f>
        <v>8</v>
      </c>
      <c r="M352" s="12">
        <v>1803</v>
      </c>
      <c r="N352" s="21">
        <f>MAX(Data[OrderDate])-_xlfn.MAXIFS(Data[OrderDate],Data[CustomerID],M352)</f>
        <v>28</v>
      </c>
      <c r="O352" s="22">
        <f>COUNTIFS(Data[CustomerID], M352)</f>
        <v>1</v>
      </c>
      <c r="P352" s="23">
        <f>SUMIFS(Data[Amount], Data[CustomerID], M352)</f>
        <v>329.79</v>
      </c>
    </row>
    <row r="353" spans="1:16" x14ac:dyDescent="0.25">
      <c r="A353">
        <v>1681</v>
      </c>
      <c r="B353">
        <v>219</v>
      </c>
      <c r="C353" s="1">
        <v>45155</v>
      </c>
      <c r="D353">
        <v>435.11</v>
      </c>
      <c r="E353" t="s">
        <v>13</v>
      </c>
      <c r="F353" t="s">
        <v>7</v>
      </c>
      <c r="G353">
        <f>COUNTIF(Data[CustomerID], Data[[#This Row],[CustomerID]])</f>
        <v>4</v>
      </c>
      <c r="H353" s="1" t="str">
        <f>TEXT(Data[OrderDate],"yyyy-mmm")</f>
        <v>2023-Aug</v>
      </c>
      <c r="I353">
        <f>IF(
   COUNTIFS(
      Data[CustomerID], Data[[#This Row],[CustomerID]],
      Data[OrderDate], "&lt;" &amp; EOMONTH(Data[[#This Row],[OrderDate]], -1) + 1
   ) &gt; 0,
   1,
   0
)</f>
        <v>1</v>
      </c>
      <c r="J353">
        <f>YEAR(Data[[#This Row],[OrderDate]])</f>
        <v>2023</v>
      </c>
      <c r="K353" s="2">
        <f>MONTH(Data[[#This Row],[OrderDate]])</f>
        <v>8</v>
      </c>
      <c r="M353" s="12">
        <v>1776</v>
      </c>
      <c r="N353" s="21">
        <f>MAX(Data[OrderDate])-_xlfn.MAXIFS(Data[OrderDate],Data[CustomerID],M353)</f>
        <v>534</v>
      </c>
      <c r="O353" s="22">
        <f>COUNTIFS(Data[CustomerID], M353)</f>
        <v>1</v>
      </c>
      <c r="P353" s="23">
        <f>SUMIFS(Data[Amount], Data[CustomerID], M353)</f>
        <v>328.37</v>
      </c>
    </row>
    <row r="354" spans="1:16" x14ac:dyDescent="0.25">
      <c r="A354">
        <v>1565</v>
      </c>
      <c r="B354">
        <v>288</v>
      </c>
      <c r="C354" s="1">
        <v>45155</v>
      </c>
      <c r="D354">
        <v>265.62</v>
      </c>
      <c r="E354" t="s">
        <v>11</v>
      </c>
      <c r="F354" t="s">
        <v>12</v>
      </c>
      <c r="G354">
        <f>COUNTIF(Data[CustomerID], Data[[#This Row],[CustomerID]])</f>
        <v>4</v>
      </c>
      <c r="H354" s="1" t="str">
        <f>TEXT(Data[OrderDate],"yyyy-mmm")</f>
        <v>2023-Aug</v>
      </c>
      <c r="I354">
        <f>IF(
   COUNTIFS(
      Data[CustomerID], Data[[#This Row],[CustomerID]],
      Data[OrderDate], "&lt;" &amp; EOMONTH(Data[[#This Row],[OrderDate]], -1) + 1
   ) &gt; 0,
   1,
   0
)</f>
        <v>1</v>
      </c>
      <c r="J354">
        <f>YEAR(Data[[#This Row],[OrderDate]])</f>
        <v>2023</v>
      </c>
      <c r="K354" s="2">
        <f>MONTH(Data[[#This Row],[OrderDate]])</f>
        <v>8</v>
      </c>
      <c r="M354" s="12">
        <v>1287</v>
      </c>
      <c r="N354" s="21">
        <f>MAX(Data[OrderDate])-_xlfn.MAXIFS(Data[OrderDate],Data[CustomerID],M354)</f>
        <v>412</v>
      </c>
      <c r="O354" s="22">
        <f>COUNTIFS(Data[CustomerID], M354)</f>
        <v>1</v>
      </c>
      <c r="P354" s="23">
        <f>SUMIFS(Data[Amount], Data[CustomerID], M354)</f>
        <v>327.60000000000002</v>
      </c>
    </row>
    <row r="355" spans="1:16" x14ac:dyDescent="0.25">
      <c r="A355">
        <v>1017</v>
      </c>
      <c r="B355">
        <v>496</v>
      </c>
      <c r="C355" s="1">
        <v>45155</v>
      </c>
      <c r="D355">
        <v>26.1</v>
      </c>
      <c r="E355" t="s">
        <v>15</v>
      </c>
      <c r="F355" t="s">
        <v>16</v>
      </c>
      <c r="G355">
        <f>COUNTIF(Data[CustomerID], Data[[#This Row],[CustomerID]])</f>
        <v>1</v>
      </c>
      <c r="H355" s="1" t="str">
        <f>TEXT(Data[OrderDate],"yyyy-mmm")</f>
        <v>2023-Aug</v>
      </c>
      <c r="I355">
        <f>IF(
   COUNTIFS(
      Data[CustomerID], Data[[#This Row],[CustomerID]],
      Data[OrderDate], "&lt;" &amp; EOMONTH(Data[[#This Row],[OrderDate]], -1) + 1
   ) &gt; 0,
   1,
   0
)</f>
        <v>0</v>
      </c>
      <c r="J355">
        <f>YEAR(Data[[#This Row],[OrderDate]])</f>
        <v>2023</v>
      </c>
      <c r="K355" s="2">
        <f>MONTH(Data[[#This Row],[OrderDate]])</f>
        <v>8</v>
      </c>
      <c r="M355" s="12">
        <v>1531</v>
      </c>
      <c r="N355" s="21">
        <f>MAX(Data[OrderDate])-_xlfn.MAXIFS(Data[OrderDate],Data[CustomerID],M355)</f>
        <v>621</v>
      </c>
      <c r="O355" s="22">
        <f>COUNTIFS(Data[CustomerID], M355)</f>
        <v>1</v>
      </c>
      <c r="P355" s="23">
        <f>SUMIFS(Data[Amount], Data[CustomerID], M355)</f>
        <v>327.13</v>
      </c>
    </row>
    <row r="356" spans="1:16" x14ac:dyDescent="0.25">
      <c r="A356">
        <v>1962</v>
      </c>
      <c r="B356">
        <v>639</v>
      </c>
      <c r="C356" s="1">
        <v>45155</v>
      </c>
      <c r="D356">
        <v>271.64999999999998</v>
      </c>
      <c r="E356" t="s">
        <v>20</v>
      </c>
      <c r="F356" t="s">
        <v>16</v>
      </c>
      <c r="G356">
        <f>COUNTIF(Data[CustomerID], Data[[#This Row],[CustomerID]])</f>
        <v>2</v>
      </c>
      <c r="H356" s="1" t="str">
        <f>TEXT(Data[OrderDate],"yyyy-mmm")</f>
        <v>2023-Aug</v>
      </c>
      <c r="I356">
        <f>IF(
   COUNTIFS(
      Data[CustomerID], Data[[#This Row],[CustomerID]],
      Data[OrderDate], "&lt;" &amp; EOMONTH(Data[[#This Row],[OrderDate]], -1) + 1
   ) &gt; 0,
   1,
   0
)</f>
        <v>0</v>
      </c>
      <c r="J356">
        <f>YEAR(Data[[#This Row],[OrderDate]])</f>
        <v>2023</v>
      </c>
      <c r="K356" s="2">
        <f>MONTH(Data[[#This Row],[OrderDate]])</f>
        <v>8</v>
      </c>
      <c r="M356" s="12">
        <v>1301</v>
      </c>
      <c r="N356" s="21">
        <f>MAX(Data[OrderDate])-_xlfn.MAXIFS(Data[OrderDate],Data[CustomerID],M356)</f>
        <v>57</v>
      </c>
      <c r="O356" s="22">
        <f>COUNTIFS(Data[CustomerID], M356)</f>
        <v>2</v>
      </c>
      <c r="P356" s="23">
        <f>SUMIFS(Data[Amount], Data[CustomerID], M356)</f>
        <v>326.12</v>
      </c>
    </row>
    <row r="357" spans="1:16" x14ac:dyDescent="0.25">
      <c r="A357">
        <v>1871</v>
      </c>
      <c r="B357">
        <v>169</v>
      </c>
      <c r="C357" s="1">
        <v>45157</v>
      </c>
      <c r="D357">
        <v>292.16000000000003</v>
      </c>
      <c r="E357" t="s">
        <v>11</v>
      </c>
      <c r="F357" t="s">
        <v>12</v>
      </c>
      <c r="G357">
        <f>COUNTIF(Data[CustomerID], Data[[#This Row],[CustomerID]])</f>
        <v>5</v>
      </c>
      <c r="H357" s="1" t="str">
        <f>TEXT(Data[OrderDate],"yyyy-mmm")</f>
        <v>2023-Aug</v>
      </c>
      <c r="I357">
        <f>IF(
   COUNTIFS(
      Data[CustomerID], Data[[#This Row],[CustomerID]],
      Data[OrderDate], "&lt;" &amp; EOMONTH(Data[[#This Row],[OrderDate]], -1) + 1
   ) &gt; 0,
   1,
   0
)</f>
        <v>1</v>
      </c>
      <c r="J357">
        <f>YEAR(Data[[#This Row],[OrderDate]])</f>
        <v>2023</v>
      </c>
      <c r="K357" s="2">
        <f>MONTH(Data[[#This Row],[OrderDate]])</f>
        <v>8</v>
      </c>
      <c r="M357" s="12">
        <v>1146</v>
      </c>
      <c r="N357" s="21">
        <f>MAX(Data[OrderDate])-_xlfn.MAXIFS(Data[OrderDate],Data[CustomerID],M357)</f>
        <v>289</v>
      </c>
      <c r="O357" s="22">
        <f>COUNTIFS(Data[CustomerID], M357)</f>
        <v>1</v>
      </c>
      <c r="P357" s="23">
        <f>SUMIFS(Data[Amount], Data[CustomerID], M357)</f>
        <v>324.42</v>
      </c>
    </row>
    <row r="358" spans="1:16" x14ac:dyDescent="0.25">
      <c r="A358">
        <v>1954</v>
      </c>
      <c r="B358">
        <v>332</v>
      </c>
      <c r="C358" s="1">
        <v>45157</v>
      </c>
      <c r="D358">
        <v>410.26</v>
      </c>
      <c r="E358" t="s">
        <v>8</v>
      </c>
      <c r="F358" t="s">
        <v>10</v>
      </c>
      <c r="G358">
        <f>COUNTIF(Data[CustomerID], Data[[#This Row],[CustomerID]])</f>
        <v>2</v>
      </c>
      <c r="H358" s="1" t="str">
        <f>TEXT(Data[OrderDate],"yyyy-mmm")</f>
        <v>2023-Aug</v>
      </c>
      <c r="I358">
        <f>IF(
   COUNTIFS(
      Data[CustomerID], Data[[#This Row],[CustomerID]],
      Data[OrderDate], "&lt;" &amp; EOMONTH(Data[[#This Row],[OrderDate]], -1) + 1
   ) &gt; 0,
   1,
   0
)</f>
        <v>1</v>
      </c>
      <c r="J358">
        <f>YEAR(Data[[#This Row],[OrderDate]])</f>
        <v>2023</v>
      </c>
      <c r="K358" s="2">
        <f>MONTH(Data[[#This Row],[OrderDate]])</f>
        <v>8</v>
      </c>
      <c r="M358" s="12">
        <v>1339</v>
      </c>
      <c r="N358" s="21">
        <f>MAX(Data[OrderDate])-_xlfn.MAXIFS(Data[OrderDate],Data[CustomerID],M358)</f>
        <v>582</v>
      </c>
      <c r="O358" s="22">
        <f>COUNTIFS(Data[CustomerID], M358)</f>
        <v>2</v>
      </c>
      <c r="P358" s="23">
        <f>SUMIFS(Data[Amount], Data[CustomerID], M358)</f>
        <v>321.87</v>
      </c>
    </row>
    <row r="359" spans="1:16" x14ac:dyDescent="0.25">
      <c r="A359">
        <v>1719</v>
      </c>
      <c r="B359">
        <v>117</v>
      </c>
      <c r="C359" s="1">
        <v>45159</v>
      </c>
      <c r="D359">
        <v>291.81</v>
      </c>
      <c r="E359" t="s">
        <v>15</v>
      </c>
      <c r="F359" t="s">
        <v>12</v>
      </c>
      <c r="G359">
        <f>COUNTIF(Data[CustomerID], Data[[#This Row],[CustomerID]])</f>
        <v>2</v>
      </c>
      <c r="H359" s="1" t="str">
        <f>TEXT(Data[OrderDate],"yyyy-mmm")</f>
        <v>2023-Aug</v>
      </c>
      <c r="I359">
        <f>IF(
   COUNTIFS(
      Data[CustomerID], Data[[#This Row],[CustomerID]],
      Data[OrderDate], "&lt;" &amp; EOMONTH(Data[[#This Row],[OrderDate]], -1) + 1
   ) &gt; 0,
   1,
   0
)</f>
        <v>0</v>
      </c>
      <c r="J359">
        <f>YEAR(Data[[#This Row],[OrderDate]])</f>
        <v>2023</v>
      </c>
      <c r="K359" s="2">
        <f>MONTH(Data[[#This Row],[OrderDate]])</f>
        <v>8</v>
      </c>
      <c r="M359" s="12">
        <v>1635</v>
      </c>
      <c r="N359" s="21">
        <f>MAX(Data[OrderDate])-_xlfn.MAXIFS(Data[OrderDate],Data[CustomerID],M359)</f>
        <v>408</v>
      </c>
      <c r="O359" s="22">
        <f>COUNTIFS(Data[CustomerID], M359)</f>
        <v>1</v>
      </c>
      <c r="P359" s="23">
        <f>SUMIFS(Data[Amount], Data[CustomerID], M359)</f>
        <v>319.86</v>
      </c>
    </row>
    <row r="360" spans="1:16" x14ac:dyDescent="0.25">
      <c r="A360">
        <v>1217</v>
      </c>
      <c r="B360">
        <v>181</v>
      </c>
      <c r="C360" s="1">
        <v>45159</v>
      </c>
      <c r="D360">
        <v>366.76</v>
      </c>
      <c r="E360" t="s">
        <v>17</v>
      </c>
      <c r="F360" t="s">
        <v>19</v>
      </c>
      <c r="G360">
        <f>COUNTIF(Data[CustomerID], Data[[#This Row],[CustomerID]])</f>
        <v>2</v>
      </c>
      <c r="H360" s="1" t="str">
        <f>TEXT(Data[OrderDate],"yyyy-mmm")</f>
        <v>2023-Aug</v>
      </c>
      <c r="I360">
        <f>IF(
   COUNTIFS(
      Data[CustomerID], Data[[#This Row],[CustomerID]],
      Data[OrderDate], "&lt;" &amp; EOMONTH(Data[[#This Row],[OrderDate]], -1) + 1
   ) &gt; 0,
   1,
   0
)</f>
        <v>0</v>
      </c>
      <c r="J360">
        <f>YEAR(Data[[#This Row],[OrderDate]])</f>
        <v>2023</v>
      </c>
      <c r="K360" s="2">
        <f>MONTH(Data[[#This Row],[OrderDate]])</f>
        <v>8</v>
      </c>
      <c r="M360" s="12">
        <v>1171</v>
      </c>
      <c r="N360" s="21">
        <f>MAX(Data[OrderDate])-_xlfn.MAXIFS(Data[OrderDate],Data[CustomerID],M360)</f>
        <v>681</v>
      </c>
      <c r="O360" s="22">
        <f>COUNTIFS(Data[CustomerID], M360)</f>
        <v>1</v>
      </c>
      <c r="P360" s="23">
        <f>SUMIFS(Data[Amount], Data[CustomerID], M360)</f>
        <v>318.43</v>
      </c>
    </row>
    <row r="361" spans="1:16" x14ac:dyDescent="0.25">
      <c r="A361">
        <v>1172</v>
      </c>
      <c r="B361">
        <v>885</v>
      </c>
      <c r="C361" s="1">
        <v>45159</v>
      </c>
      <c r="D361">
        <v>327.58</v>
      </c>
      <c r="E361" t="s">
        <v>8</v>
      </c>
      <c r="F361" t="s">
        <v>10</v>
      </c>
      <c r="G361">
        <f>COUNTIF(Data[CustomerID], Data[[#This Row],[CustomerID]])</f>
        <v>2</v>
      </c>
      <c r="H361" s="1" t="str">
        <f>TEXT(Data[OrderDate],"yyyy-mmm")</f>
        <v>2023-Aug</v>
      </c>
      <c r="I361">
        <f>IF(
   COUNTIFS(
      Data[CustomerID], Data[[#This Row],[CustomerID]],
      Data[OrderDate], "&lt;" &amp; EOMONTH(Data[[#This Row],[OrderDate]], -1) + 1
   ) &gt; 0,
   1,
   0
)</f>
        <v>1</v>
      </c>
      <c r="J361">
        <f>YEAR(Data[[#This Row],[OrderDate]])</f>
        <v>2023</v>
      </c>
      <c r="K361" s="2">
        <f>MONTH(Data[[#This Row],[OrderDate]])</f>
        <v>8</v>
      </c>
      <c r="M361" s="12">
        <v>1608</v>
      </c>
      <c r="N361" s="21">
        <f>MAX(Data[OrderDate])-_xlfn.MAXIFS(Data[OrderDate],Data[CustomerID],M361)</f>
        <v>139</v>
      </c>
      <c r="O361" s="22">
        <f>COUNTIFS(Data[CustomerID], M361)</f>
        <v>2</v>
      </c>
      <c r="P361" s="23">
        <f>SUMIFS(Data[Amount], Data[CustomerID], M361)</f>
        <v>318.33999999999997</v>
      </c>
    </row>
    <row r="362" spans="1:16" x14ac:dyDescent="0.25">
      <c r="A362">
        <v>1000</v>
      </c>
      <c r="B362">
        <v>898</v>
      </c>
      <c r="C362" s="1">
        <v>45159</v>
      </c>
      <c r="D362">
        <v>99.67</v>
      </c>
      <c r="E362" t="s">
        <v>17</v>
      </c>
      <c r="F362" t="s">
        <v>19</v>
      </c>
      <c r="G362">
        <f>COUNTIF(Data[CustomerID], Data[[#This Row],[CustomerID]])</f>
        <v>1</v>
      </c>
      <c r="H362" s="1" t="str">
        <f>TEXT(Data[OrderDate],"yyyy-mmm")</f>
        <v>2023-Aug</v>
      </c>
      <c r="I362">
        <f>IF(
   COUNTIFS(
      Data[CustomerID], Data[[#This Row],[CustomerID]],
      Data[OrderDate], "&lt;" &amp; EOMONTH(Data[[#This Row],[OrderDate]], -1) + 1
   ) &gt; 0,
   1,
   0
)</f>
        <v>0</v>
      </c>
      <c r="J362">
        <f>YEAR(Data[[#This Row],[OrderDate]])</f>
        <v>2023</v>
      </c>
      <c r="K362" s="2">
        <f>MONTH(Data[[#This Row],[OrderDate]])</f>
        <v>8</v>
      </c>
      <c r="M362" s="12">
        <v>1205</v>
      </c>
      <c r="N362" s="21">
        <f>MAX(Data[OrderDate])-_xlfn.MAXIFS(Data[OrderDate],Data[CustomerID],M362)</f>
        <v>154</v>
      </c>
      <c r="O362" s="22">
        <f>COUNTIFS(Data[CustomerID], M362)</f>
        <v>1</v>
      </c>
      <c r="P362" s="23">
        <f>SUMIFS(Data[Amount], Data[CustomerID], M362)</f>
        <v>316.24</v>
      </c>
    </row>
    <row r="363" spans="1:16" x14ac:dyDescent="0.25">
      <c r="A363">
        <v>1050</v>
      </c>
      <c r="B363">
        <v>556</v>
      </c>
      <c r="C363" s="1">
        <v>45161</v>
      </c>
      <c r="D363">
        <v>392.33</v>
      </c>
      <c r="E363" t="s">
        <v>11</v>
      </c>
      <c r="F363" t="s">
        <v>12</v>
      </c>
      <c r="G363">
        <f>COUNTIF(Data[CustomerID], Data[[#This Row],[CustomerID]])</f>
        <v>1</v>
      </c>
      <c r="H363" s="1" t="str">
        <f>TEXT(Data[OrderDate],"yyyy-mmm")</f>
        <v>2023-Aug</v>
      </c>
      <c r="I363">
        <f>IF(
   COUNTIFS(
      Data[CustomerID], Data[[#This Row],[CustomerID]],
      Data[OrderDate], "&lt;" &amp; EOMONTH(Data[[#This Row],[OrderDate]], -1) + 1
   ) &gt; 0,
   1,
   0
)</f>
        <v>0</v>
      </c>
      <c r="J363">
        <f>YEAR(Data[[#This Row],[OrderDate]])</f>
        <v>2023</v>
      </c>
      <c r="K363" s="2">
        <f>MONTH(Data[[#This Row],[OrderDate]])</f>
        <v>8</v>
      </c>
      <c r="M363" s="12">
        <v>1705</v>
      </c>
      <c r="N363" s="21">
        <f>MAX(Data[OrderDate])-_xlfn.MAXIFS(Data[OrderDate],Data[CustomerID],M363)</f>
        <v>563</v>
      </c>
      <c r="O363" s="22">
        <f>COUNTIFS(Data[CustomerID], M363)</f>
        <v>1</v>
      </c>
      <c r="P363" s="23">
        <f>SUMIFS(Data[Amount], Data[CustomerID], M363)</f>
        <v>315.83999999999997</v>
      </c>
    </row>
    <row r="364" spans="1:16" x14ac:dyDescent="0.25">
      <c r="A364">
        <v>1562</v>
      </c>
      <c r="B364">
        <v>52</v>
      </c>
      <c r="C364" s="1">
        <v>45162</v>
      </c>
      <c r="D364">
        <v>300.75</v>
      </c>
      <c r="E364" t="s">
        <v>11</v>
      </c>
      <c r="F364" t="s">
        <v>16</v>
      </c>
      <c r="G364">
        <f>COUNTIF(Data[CustomerID], Data[[#This Row],[CustomerID]])</f>
        <v>2</v>
      </c>
      <c r="H364" s="1" t="str">
        <f>TEXT(Data[OrderDate],"yyyy-mmm")</f>
        <v>2023-Aug</v>
      </c>
      <c r="I364">
        <f>IF(
   COUNTIFS(
      Data[CustomerID], Data[[#This Row],[CustomerID]],
      Data[OrderDate], "&lt;" &amp; EOMONTH(Data[[#This Row],[OrderDate]], -1) + 1
   ) &gt; 0,
   1,
   0
)</f>
        <v>0</v>
      </c>
      <c r="J364">
        <f>YEAR(Data[[#This Row],[OrderDate]])</f>
        <v>2023</v>
      </c>
      <c r="K364" s="2">
        <f>MONTH(Data[[#This Row],[OrderDate]])</f>
        <v>8</v>
      </c>
      <c r="M364" s="12">
        <v>1975</v>
      </c>
      <c r="N364" s="21">
        <f>MAX(Data[OrderDate])-_xlfn.MAXIFS(Data[OrderDate],Data[CustomerID],M364)</f>
        <v>26</v>
      </c>
      <c r="O364" s="22">
        <f>COUNTIFS(Data[CustomerID], M364)</f>
        <v>1</v>
      </c>
      <c r="P364" s="23">
        <f>SUMIFS(Data[Amount], Data[CustomerID], M364)</f>
        <v>314.52999999999997</v>
      </c>
    </row>
    <row r="365" spans="1:16" x14ac:dyDescent="0.25">
      <c r="A365">
        <v>1385</v>
      </c>
      <c r="B365">
        <v>276</v>
      </c>
      <c r="C365" s="1">
        <v>45162</v>
      </c>
      <c r="D365">
        <v>66</v>
      </c>
      <c r="E365" t="s">
        <v>9</v>
      </c>
      <c r="F365" t="s">
        <v>18</v>
      </c>
      <c r="G365">
        <f>COUNTIF(Data[CustomerID], Data[[#This Row],[CustomerID]])</f>
        <v>3</v>
      </c>
      <c r="H365" s="1" t="str">
        <f>TEXT(Data[OrderDate],"yyyy-mmm")</f>
        <v>2023-Aug</v>
      </c>
      <c r="I365">
        <f>IF(
   COUNTIFS(
      Data[CustomerID], Data[[#This Row],[CustomerID]],
      Data[OrderDate], "&lt;" &amp; EOMONTH(Data[[#This Row],[OrderDate]], -1) + 1
   ) &gt; 0,
   1,
   0
)</f>
        <v>1</v>
      </c>
      <c r="J365">
        <f>YEAR(Data[[#This Row],[OrderDate]])</f>
        <v>2023</v>
      </c>
      <c r="K365" s="2">
        <f>MONTH(Data[[#This Row],[OrderDate]])</f>
        <v>8</v>
      </c>
      <c r="M365" s="12">
        <v>1357</v>
      </c>
      <c r="N365" s="21">
        <f>MAX(Data[OrderDate])-_xlfn.MAXIFS(Data[OrderDate],Data[CustomerID],M365)</f>
        <v>96</v>
      </c>
      <c r="O365" s="22">
        <f>COUNTIFS(Data[CustomerID], M365)</f>
        <v>1</v>
      </c>
      <c r="P365" s="23">
        <f>SUMIFS(Data[Amount], Data[CustomerID], M365)</f>
        <v>312.57</v>
      </c>
    </row>
    <row r="366" spans="1:16" x14ac:dyDescent="0.25">
      <c r="A366">
        <v>1920</v>
      </c>
      <c r="B366">
        <v>994</v>
      </c>
      <c r="C366" s="1">
        <v>45162</v>
      </c>
      <c r="D366">
        <v>478.13</v>
      </c>
      <c r="E366" t="s">
        <v>17</v>
      </c>
      <c r="F366" t="s">
        <v>14</v>
      </c>
      <c r="G366">
        <f>COUNTIF(Data[CustomerID], Data[[#This Row],[CustomerID]])</f>
        <v>2</v>
      </c>
      <c r="H366" s="1" t="str">
        <f>TEXT(Data[OrderDate],"yyyy-mmm")</f>
        <v>2023-Aug</v>
      </c>
      <c r="I366">
        <f>IF(
   COUNTIFS(
      Data[CustomerID], Data[[#This Row],[CustomerID]],
      Data[OrderDate], "&lt;" &amp; EOMONTH(Data[[#This Row],[OrderDate]], -1) + 1
   ) &gt; 0,
   1,
   0
)</f>
        <v>1</v>
      </c>
      <c r="J366">
        <f>YEAR(Data[[#This Row],[OrderDate]])</f>
        <v>2023</v>
      </c>
      <c r="K366" s="2">
        <f>MONTH(Data[[#This Row],[OrderDate]])</f>
        <v>8</v>
      </c>
      <c r="M366" s="12">
        <v>1927</v>
      </c>
      <c r="N366" s="21">
        <f>MAX(Data[OrderDate])-_xlfn.MAXIFS(Data[OrderDate],Data[CustomerID],M366)</f>
        <v>692</v>
      </c>
      <c r="O366" s="22">
        <f>COUNTIFS(Data[CustomerID], M366)</f>
        <v>1</v>
      </c>
      <c r="P366" s="23">
        <f>SUMIFS(Data[Amount], Data[CustomerID], M366)</f>
        <v>311.38</v>
      </c>
    </row>
    <row r="367" spans="1:16" x14ac:dyDescent="0.25">
      <c r="A367">
        <v>1833</v>
      </c>
      <c r="B367">
        <v>551</v>
      </c>
      <c r="C367" s="1">
        <v>45163</v>
      </c>
      <c r="D367">
        <v>39.01</v>
      </c>
      <c r="E367" t="s">
        <v>20</v>
      </c>
      <c r="F367" t="s">
        <v>7</v>
      </c>
      <c r="G367">
        <f>COUNTIF(Data[CustomerID], Data[[#This Row],[CustomerID]])</f>
        <v>1</v>
      </c>
      <c r="H367" s="1" t="str">
        <f>TEXT(Data[OrderDate],"yyyy-mmm")</f>
        <v>2023-Aug</v>
      </c>
      <c r="I367">
        <f>IF(
   COUNTIFS(
      Data[CustomerID], Data[[#This Row],[CustomerID]],
      Data[OrderDate], "&lt;" &amp; EOMONTH(Data[[#This Row],[OrderDate]], -1) + 1
   ) &gt; 0,
   1,
   0
)</f>
        <v>0</v>
      </c>
      <c r="J367">
        <f>YEAR(Data[[#This Row],[OrderDate]])</f>
        <v>2023</v>
      </c>
      <c r="K367" s="2">
        <f>MONTH(Data[[#This Row],[OrderDate]])</f>
        <v>8</v>
      </c>
      <c r="M367" s="12">
        <v>1016</v>
      </c>
      <c r="N367" s="21">
        <f>MAX(Data[OrderDate])-_xlfn.MAXIFS(Data[OrderDate],Data[CustomerID],M367)</f>
        <v>276</v>
      </c>
      <c r="O367" s="22">
        <f>COUNTIFS(Data[CustomerID], M367)</f>
        <v>1</v>
      </c>
      <c r="P367" s="23">
        <f>SUMIFS(Data[Amount], Data[CustomerID], M367)</f>
        <v>310.94</v>
      </c>
    </row>
    <row r="368" spans="1:16" x14ac:dyDescent="0.25">
      <c r="A368">
        <v>1700</v>
      </c>
      <c r="B368">
        <v>7</v>
      </c>
      <c r="C368" s="1">
        <v>45165</v>
      </c>
      <c r="D368">
        <v>487.48</v>
      </c>
      <c r="E368" t="s">
        <v>11</v>
      </c>
      <c r="F368" t="s">
        <v>16</v>
      </c>
      <c r="G368">
        <f>COUNTIF(Data[CustomerID], Data[[#This Row],[CustomerID]])</f>
        <v>1</v>
      </c>
      <c r="H368" s="1" t="str">
        <f>TEXT(Data[OrderDate],"yyyy-mmm")</f>
        <v>2023-Aug</v>
      </c>
      <c r="I368">
        <f>IF(
   COUNTIFS(
      Data[CustomerID], Data[[#This Row],[CustomerID]],
      Data[OrderDate], "&lt;" &amp; EOMONTH(Data[[#This Row],[OrderDate]], -1) + 1
   ) &gt; 0,
   1,
   0
)</f>
        <v>0</v>
      </c>
      <c r="J368">
        <f>YEAR(Data[[#This Row],[OrderDate]])</f>
        <v>2023</v>
      </c>
      <c r="K368" s="2">
        <f>MONTH(Data[[#This Row],[OrderDate]])</f>
        <v>8</v>
      </c>
      <c r="M368" s="12">
        <v>1488</v>
      </c>
      <c r="N368" s="21">
        <f>MAX(Data[OrderDate])-_xlfn.MAXIFS(Data[OrderDate],Data[CustomerID],M368)</f>
        <v>178</v>
      </c>
      <c r="O368" s="22">
        <f>COUNTIFS(Data[CustomerID], M368)</f>
        <v>1</v>
      </c>
      <c r="P368" s="23">
        <f>SUMIFS(Data[Amount], Data[CustomerID], M368)</f>
        <v>310.49</v>
      </c>
    </row>
    <row r="369" spans="1:16" x14ac:dyDescent="0.25">
      <c r="A369">
        <v>1492</v>
      </c>
      <c r="B369">
        <v>128</v>
      </c>
      <c r="C369" s="1">
        <v>45165</v>
      </c>
      <c r="D369">
        <v>122.33</v>
      </c>
      <c r="E369" t="s">
        <v>20</v>
      </c>
      <c r="F369" t="s">
        <v>18</v>
      </c>
      <c r="G369">
        <f>COUNTIF(Data[CustomerID], Data[[#This Row],[CustomerID]])</f>
        <v>2</v>
      </c>
      <c r="H369" s="1" t="str">
        <f>TEXT(Data[OrderDate],"yyyy-mmm")</f>
        <v>2023-Aug</v>
      </c>
      <c r="I369">
        <f>IF(
   COUNTIFS(
      Data[CustomerID], Data[[#This Row],[CustomerID]],
      Data[OrderDate], "&lt;" &amp; EOMONTH(Data[[#This Row],[OrderDate]], -1) + 1
   ) &gt; 0,
   1,
   0
)</f>
        <v>0</v>
      </c>
      <c r="J369">
        <f>YEAR(Data[[#This Row],[OrderDate]])</f>
        <v>2023</v>
      </c>
      <c r="K369" s="2">
        <f>MONTH(Data[[#This Row],[OrderDate]])</f>
        <v>8</v>
      </c>
      <c r="M369" s="12">
        <v>1058</v>
      </c>
      <c r="N369" s="21">
        <f>MAX(Data[OrderDate])-_xlfn.MAXIFS(Data[OrderDate],Data[CustomerID],M369)</f>
        <v>605</v>
      </c>
      <c r="O369" s="22">
        <f>COUNTIFS(Data[CustomerID], M369)</f>
        <v>1</v>
      </c>
      <c r="P369" s="23">
        <f>SUMIFS(Data[Amount], Data[CustomerID], M369)</f>
        <v>310.22000000000003</v>
      </c>
    </row>
    <row r="370" spans="1:16" x14ac:dyDescent="0.25">
      <c r="A370">
        <v>1127</v>
      </c>
      <c r="B370">
        <v>495</v>
      </c>
      <c r="C370" s="1">
        <v>45165</v>
      </c>
      <c r="D370">
        <v>36.99</v>
      </c>
      <c r="E370" t="s">
        <v>17</v>
      </c>
      <c r="F370" t="s">
        <v>19</v>
      </c>
      <c r="G370">
        <f>COUNTIF(Data[CustomerID], Data[[#This Row],[CustomerID]])</f>
        <v>1</v>
      </c>
      <c r="H370" s="1" t="str">
        <f>TEXT(Data[OrderDate],"yyyy-mmm")</f>
        <v>2023-Aug</v>
      </c>
      <c r="I370">
        <f>IF(
   COUNTIFS(
      Data[CustomerID], Data[[#This Row],[CustomerID]],
      Data[OrderDate], "&lt;" &amp; EOMONTH(Data[[#This Row],[OrderDate]], -1) + 1
   ) &gt; 0,
   1,
   0
)</f>
        <v>0</v>
      </c>
      <c r="J370">
        <f>YEAR(Data[[#This Row],[OrderDate]])</f>
        <v>2023</v>
      </c>
      <c r="K370" s="2">
        <f>MONTH(Data[[#This Row],[OrderDate]])</f>
        <v>8</v>
      </c>
      <c r="M370" s="12">
        <v>1789</v>
      </c>
      <c r="N370" s="21">
        <f>MAX(Data[OrderDate])-_xlfn.MAXIFS(Data[OrderDate],Data[CustomerID],M370)</f>
        <v>661</v>
      </c>
      <c r="O370" s="22">
        <f>COUNTIFS(Data[CustomerID], M370)</f>
        <v>1</v>
      </c>
      <c r="P370" s="23">
        <f>SUMIFS(Data[Amount], Data[CustomerID], M370)</f>
        <v>309.41000000000003</v>
      </c>
    </row>
    <row r="371" spans="1:16" x14ac:dyDescent="0.25">
      <c r="A371">
        <v>1601</v>
      </c>
      <c r="B371">
        <v>732</v>
      </c>
      <c r="C371" s="1">
        <v>45165</v>
      </c>
      <c r="D371">
        <v>70.02</v>
      </c>
      <c r="E371" t="s">
        <v>8</v>
      </c>
      <c r="F371" t="s">
        <v>7</v>
      </c>
      <c r="G371">
        <f>COUNTIF(Data[CustomerID], Data[[#This Row],[CustomerID]])</f>
        <v>1</v>
      </c>
      <c r="H371" s="1" t="str">
        <f>TEXT(Data[OrderDate],"yyyy-mmm")</f>
        <v>2023-Aug</v>
      </c>
      <c r="I371">
        <f>IF(
   COUNTIFS(
      Data[CustomerID], Data[[#This Row],[CustomerID]],
      Data[OrderDate], "&lt;" &amp; EOMONTH(Data[[#This Row],[OrderDate]], -1) + 1
   ) &gt; 0,
   1,
   0
)</f>
        <v>0</v>
      </c>
      <c r="J371">
        <f>YEAR(Data[[#This Row],[OrderDate]])</f>
        <v>2023</v>
      </c>
      <c r="K371" s="2">
        <f>MONTH(Data[[#This Row],[OrderDate]])</f>
        <v>8</v>
      </c>
      <c r="M371" s="12">
        <v>1138</v>
      </c>
      <c r="N371" s="21">
        <f>MAX(Data[OrderDate])-_xlfn.MAXIFS(Data[OrderDate],Data[CustomerID],M371)</f>
        <v>61</v>
      </c>
      <c r="O371" s="22">
        <f>COUNTIFS(Data[CustomerID], M371)</f>
        <v>1</v>
      </c>
      <c r="P371" s="23">
        <f>SUMIFS(Data[Amount], Data[CustomerID], M371)</f>
        <v>304.74</v>
      </c>
    </row>
    <row r="372" spans="1:16" x14ac:dyDescent="0.25">
      <c r="A372">
        <v>1823</v>
      </c>
      <c r="B372">
        <v>908</v>
      </c>
      <c r="C372" s="1">
        <v>45168</v>
      </c>
      <c r="D372">
        <v>57.64</v>
      </c>
      <c r="E372" t="s">
        <v>6</v>
      </c>
      <c r="F372" t="s">
        <v>19</v>
      </c>
      <c r="G372">
        <f>COUNTIF(Data[CustomerID], Data[[#This Row],[CustomerID]])</f>
        <v>2</v>
      </c>
      <c r="H372" s="1" t="str">
        <f>TEXT(Data[OrderDate],"yyyy-mmm")</f>
        <v>2023-Aug</v>
      </c>
      <c r="I372">
        <f>IF(
   COUNTIFS(
      Data[CustomerID], Data[[#This Row],[CustomerID]],
      Data[OrderDate], "&lt;" &amp; EOMONTH(Data[[#This Row],[OrderDate]], -1) + 1
   ) &gt; 0,
   1,
   0
)</f>
        <v>0</v>
      </c>
      <c r="J372">
        <f>YEAR(Data[[#This Row],[OrderDate]])</f>
        <v>2023</v>
      </c>
      <c r="K372" s="2">
        <f>MONTH(Data[[#This Row],[OrderDate]])</f>
        <v>8</v>
      </c>
      <c r="M372" s="12">
        <v>1414</v>
      </c>
      <c r="N372" s="21">
        <f>MAX(Data[OrderDate])-_xlfn.MAXIFS(Data[OrderDate],Data[CustomerID],M372)</f>
        <v>30</v>
      </c>
      <c r="O372" s="22">
        <f>COUNTIFS(Data[CustomerID], M372)</f>
        <v>3</v>
      </c>
      <c r="P372" s="23">
        <f>SUMIFS(Data[Amount], Data[CustomerID], M372)</f>
        <v>304.49</v>
      </c>
    </row>
    <row r="373" spans="1:16" x14ac:dyDescent="0.25">
      <c r="A373">
        <v>1085</v>
      </c>
      <c r="B373">
        <v>216</v>
      </c>
      <c r="C373" s="1">
        <v>45169</v>
      </c>
      <c r="D373">
        <v>451.18</v>
      </c>
      <c r="E373" t="s">
        <v>20</v>
      </c>
      <c r="F373" t="s">
        <v>14</v>
      </c>
      <c r="G373">
        <f>COUNTIF(Data[CustomerID], Data[[#This Row],[CustomerID]])</f>
        <v>2</v>
      </c>
      <c r="H373" s="1" t="str">
        <f>TEXT(Data[OrderDate],"yyyy-mmm")</f>
        <v>2023-Aug</v>
      </c>
      <c r="I373">
        <f>IF(
   COUNTIFS(
      Data[CustomerID], Data[[#This Row],[CustomerID]],
      Data[OrderDate], "&lt;" &amp; EOMONTH(Data[[#This Row],[OrderDate]], -1) + 1
   ) &gt; 0,
   1,
   0
)</f>
        <v>0</v>
      </c>
      <c r="J373">
        <f>YEAR(Data[[#This Row],[OrderDate]])</f>
        <v>2023</v>
      </c>
      <c r="K373" s="2">
        <f>MONTH(Data[[#This Row],[OrderDate]])</f>
        <v>8</v>
      </c>
      <c r="M373" s="12">
        <v>1225</v>
      </c>
      <c r="N373" s="21">
        <f>MAX(Data[OrderDate])-_xlfn.MAXIFS(Data[OrderDate],Data[CustomerID],M373)</f>
        <v>224</v>
      </c>
      <c r="O373" s="22">
        <f>COUNTIFS(Data[CustomerID], M373)</f>
        <v>1</v>
      </c>
      <c r="P373" s="23">
        <f>SUMIFS(Data[Amount], Data[CustomerID], M373)</f>
        <v>303.26</v>
      </c>
    </row>
    <row r="374" spans="1:16" x14ac:dyDescent="0.25">
      <c r="A374">
        <v>1278</v>
      </c>
      <c r="B374">
        <v>771</v>
      </c>
      <c r="C374" s="1">
        <v>45169</v>
      </c>
      <c r="D374">
        <v>172.44</v>
      </c>
      <c r="E374" t="s">
        <v>20</v>
      </c>
      <c r="F374" t="s">
        <v>10</v>
      </c>
      <c r="G374">
        <f>COUNTIF(Data[CustomerID], Data[[#This Row],[CustomerID]])</f>
        <v>1</v>
      </c>
      <c r="H374" s="1" t="str">
        <f>TEXT(Data[OrderDate],"yyyy-mmm")</f>
        <v>2023-Aug</v>
      </c>
      <c r="I374">
        <f>IF(
   COUNTIFS(
      Data[CustomerID], Data[[#This Row],[CustomerID]],
      Data[OrderDate], "&lt;" &amp; EOMONTH(Data[[#This Row],[OrderDate]], -1) + 1
   ) &gt; 0,
   1,
   0
)</f>
        <v>0</v>
      </c>
      <c r="J374">
        <f>YEAR(Data[[#This Row],[OrderDate]])</f>
        <v>2023</v>
      </c>
      <c r="K374" s="2">
        <f>MONTH(Data[[#This Row],[OrderDate]])</f>
        <v>8</v>
      </c>
      <c r="M374" s="12">
        <v>1179</v>
      </c>
      <c r="N374" s="21">
        <f>MAX(Data[OrderDate])-_xlfn.MAXIFS(Data[OrderDate],Data[CustomerID],M374)</f>
        <v>614</v>
      </c>
      <c r="O374" s="22">
        <f>COUNTIFS(Data[CustomerID], M374)</f>
        <v>1</v>
      </c>
      <c r="P374" s="23">
        <f>SUMIFS(Data[Amount], Data[CustomerID], M374)</f>
        <v>303.06</v>
      </c>
    </row>
    <row r="375" spans="1:16" x14ac:dyDescent="0.25">
      <c r="A375">
        <v>1160</v>
      </c>
      <c r="B375">
        <v>416</v>
      </c>
      <c r="C375" s="1">
        <v>45170</v>
      </c>
      <c r="D375">
        <v>164.65</v>
      </c>
      <c r="E375" t="s">
        <v>9</v>
      </c>
      <c r="F375" t="s">
        <v>16</v>
      </c>
      <c r="G375">
        <f>COUNTIF(Data[CustomerID], Data[[#This Row],[CustomerID]])</f>
        <v>3</v>
      </c>
      <c r="H375" s="1" t="str">
        <f>TEXT(Data[OrderDate],"yyyy-mmm")</f>
        <v>2023-Sep</v>
      </c>
      <c r="I375">
        <f>IF(
   COUNTIFS(
      Data[CustomerID], Data[[#This Row],[CustomerID]],
      Data[OrderDate], "&lt;" &amp; EOMONTH(Data[[#This Row],[OrderDate]], -1) + 1
   ) &gt; 0,
   1,
   0
)</f>
        <v>0</v>
      </c>
      <c r="J375">
        <f>YEAR(Data[[#This Row],[OrderDate]])</f>
        <v>2023</v>
      </c>
      <c r="K375" s="2">
        <f>MONTH(Data[[#This Row],[OrderDate]])</f>
        <v>9</v>
      </c>
      <c r="M375" s="12">
        <v>1862</v>
      </c>
      <c r="N375" s="21">
        <f>MAX(Data[OrderDate])-_xlfn.MAXIFS(Data[OrderDate],Data[CustomerID],M375)</f>
        <v>649</v>
      </c>
      <c r="O375" s="22">
        <f>COUNTIFS(Data[CustomerID], M375)</f>
        <v>1</v>
      </c>
      <c r="P375" s="23">
        <f>SUMIFS(Data[Amount], Data[CustomerID], M375)</f>
        <v>302.92</v>
      </c>
    </row>
    <row r="376" spans="1:16" x14ac:dyDescent="0.25">
      <c r="A376">
        <v>1512</v>
      </c>
      <c r="B376">
        <v>618</v>
      </c>
      <c r="C376" s="1">
        <v>45170</v>
      </c>
      <c r="D376">
        <v>57.44</v>
      </c>
      <c r="E376" t="s">
        <v>13</v>
      </c>
      <c r="F376" t="s">
        <v>10</v>
      </c>
      <c r="G376">
        <f>COUNTIF(Data[CustomerID], Data[[#This Row],[CustomerID]])</f>
        <v>2</v>
      </c>
      <c r="H376" s="1" t="str">
        <f>TEXT(Data[OrderDate],"yyyy-mmm")</f>
        <v>2023-Sep</v>
      </c>
      <c r="I376">
        <f>IF(
   COUNTIFS(
      Data[CustomerID], Data[[#This Row],[CustomerID]],
      Data[OrderDate], "&lt;" &amp; EOMONTH(Data[[#This Row],[OrderDate]], -1) + 1
   ) &gt; 0,
   1,
   0
)</f>
        <v>0</v>
      </c>
      <c r="J376">
        <f>YEAR(Data[[#This Row],[OrderDate]])</f>
        <v>2023</v>
      </c>
      <c r="K376" s="2">
        <f>MONTH(Data[[#This Row],[OrderDate]])</f>
        <v>9</v>
      </c>
      <c r="M376" s="12">
        <v>1742</v>
      </c>
      <c r="N376" s="21">
        <f>MAX(Data[OrderDate])-_xlfn.MAXIFS(Data[OrderDate],Data[CustomerID],M376)</f>
        <v>418</v>
      </c>
      <c r="O376" s="22">
        <f>COUNTIFS(Data[CustomerID], M376)</f>
        <v>1</v>
      </c>
      <c r="P376" s="23">
        <f>SUMIFS(Data[Amount], Data[CustomerID], M376)</f>
        <v>302.3</v>
      </c>
    </row>
    <row r="377" spans="1:16" x14ac:dyDescent="0.25">
      <c r="A377">
        <v>1775</v>
      </c>
      <c r="B377">
        <v>728</v>
      </c>
      <c r="C377" s="1">
        <v>45171</v>
      </c>
      <c r="D377">
        <v>391.21</v>
      </c>
      <c r="E377" t="s">
        <v>9</v>
      </c>
      <c r="F377" t="s">
        <v>19</v>
      </c>
      <c r="G377">
        <f>COUNTIF(Data[CustomerID], Data[[#This Row],[CustomerID]])</f>
        <v>4</v>
      </c>
      <c r="H377" s="1" t="str">
        <f>TEXT(Data[OrderDate],"yyyy-mmm")</f>
        <v>2023-Sep</v>
      </c>
      <c r="I377">
        <f>IF(
   COUNTIFS(
      Data[CustomerID], Data[[#This Row],[CustomerID]],
      Data[OrderDate], "&lt;" &amp; EOMONTH(Data[[#This Row],[OrderDate]], -1) + 1
   ) &gt; 0,
   1,
   0
)</f>
        <v>1</v>
      </c>
      <c r="J377">
        <f>YEAR(Data[[#This Row],[OrderDate]])</f>
        <v>2023</v>
      </c>
      <c r="K377" s="2">
        <f>MONTH(Data[[#This Row],[OrderDate]])</f>
        <v>9</v>
      </c>
      <c r="M377" s="12">
        <v>1187</v>
      </c>
      <c r="N377" s="21">
        <f>MAX(Data[OrderDate])-_xlfn.MAXIFS(Data[OrderDate],Data[CustomerID],M377)</f>
        <v>579</v>
      </c>
      <c r="O377" s="22">
        <f>COUNTIFS(Data[CustomerID], M377)</f>
        <v>1</v>
      </c>
      <c r="P377" s="23">
        <f>SUMIFS(Data[Amount], Data[CustomerID], M377)</f>
        <v>301.36</v>
      </c>
    </row>
    <row r="378" spans="1:16" x14ac:dyDescent="0.25">
      <c r="A378">
        <v>1241</v>
      </c>
      <c r="B378">
        <v>70</v>
      </c>
      <c r="C378" s="1">
        <v>45175</v>
      </c>
      <c r="D378">
        <v>15.33</v>
      </c>
      <c r="E378" t="s">
        <v>13</v>
      </c>
      <c r="F378" t="s">
        <v>12</v>
      </c>
      <c r="G378">
        <f>COUNTIF(Data[CustomerID], Data[[#This Row],[CustomerID]])</f>
        <v>2</v>
      </c>
      <c r="H378" s="1" t="str">
        <f>TEXT(Data[OrderDate],"yyyy-mmm")</f>
        <v>2023-Sep</v>
      </c>
      <c r="I378">
        <f>IF(
   COUNTIFS(
      Data[CustomerID], Data[[#This Row],[CustomerID]],
      Data[OrderDate], "&lt;" &amp; EOMONTH(Data[[#This Row],[OrderDate]], -1) + 1
   ) &gt; 0,
   1,
   0
)</f>
        <v>0</v>
      </c>
      <c r="J378">
        <f>YEAR(Data[[#This Row],[OrderDate]])</f>
        <v>2023</v>
      </c>
      <c r="K378" s="2">
        <f>MONTH(Data[[#This Row],[OrderDate]])</f>
        <v>9</v>
      </c>
      <c r="M378" s="12">
        <v>1771</v>
      </c>
      <c r="N378" s="21">
        <f>MAX(Data[OrderDate])-_xlfn.MAXIFS(Data[OrderDate],Data[CustomerID],M378)</f>
        <v>326</v>
      </c>
      <c r="O378" s="22">
        <f>COUNTIFS(Data[CustomerID], M378)</f>
        <v>1</v>
      </c>
      <c r="P378" s="23">
        <f>SUMIFS(Data[Amount], Data[CustomerID], M378)</f>
        <v>300.87</v>
      </c>
    </row>
    <row r="379" spans="1:16" x14ac:dyDescent="0.25">
      <c r="A379">
        <v>1216</v>
      </c>
      <c r="B379">
        <v>124</v>
      </c>
      <c r="C379" s="1">
        <v>45175</v>
      </c>
      <c r="D379">
        <v>9.4700000000000006</v>
      </c>
      <c r="E379" t="s">
        <v>15</v>
      </c>
      <c r="F379" t="s">
        <v>16</v>
      </c>
      <c r="G379">
        <f>COUNTIF(Data[CustomerID], Data[[#This Row],[CustomerID]])</f>
        <v>3</v>
      </c>
      <c r="H379" s="1" t="str">
        <f>TEXT(Data[OrderDate],"yyyy-mmm")</f>
        <v>2023-Sep</v>
      </c>
      <c r="I379">
        <f>IF(
   COUNTIFS(
      Data[CustomerID], Data[[#This Row],[CustomerID]],
      Data[OrderDate], "&lt;" &amp; EOMONTH(Data[[#This Row],[OrderDate]], -1) + 1
   ) &gt; 0,
   1,
   0
)</f>
        <v>0</v>
      </c>
      <c r="J379">
        <f>YEAR(Data[[#This Row],[OrderDate]])</f>
        <v>2023</v>
      </c>
      <c r="K379" s="2">
        <f>MONTH(Data[[#This Row],[OrderDate]])</f>
        <v>9</v>
      </c>
      <c r="M379" s="12">
        <v>1186</v>
      </c>
      <c r="N379" s="21">
        <f>MAX(Data[OrderDate])-_xlfn.MAXIFS(Data[OrderDate],Data[CustomerID],M379)</f>
        <v>252</v>
      </c>
      <c r="O379" s="22">
        <f>COUNTIFS(Data[CustomerID], M379)</f>
        <v>1</v>
      </c>
      <c r="P379" s="23">
        <f>SUMIFS(Data[Amount], Data[CustomerID], M379)</f>
        <v>300.54000000000002</v>
      </c>
    </row>
    <row r="380" spans="1:16" x14ac:dyDescent="0.25">
      <c r="A380">
        <v>1699</v>
      </c>
      <c r="B380">
        <v>45</v>
      </c>
      <c r="C380" s="1">
        <v>45176</v>
      </c>
      <c r="D380">
        <v>473.94</v>
      </c>
      <c r="E380" t="s">
        <v>6</v>
      </c>
      <c r="F380" t="s">
        <v>7</v>
      </c>
      <c r="G380">
        <f>COUNTIF(Data[CustomerID], Data[[#This Row],[CustomerID]])</f>
        <v>2</v>
      </c>
      <c r="H380" s="1" t="str">
        <f>TEXT(Data[OrderDate],"yyyy-mmm")</f>
        <v>2023-Sep</v>
      </c>
      <c r="I380">
        <f>IF(
   COUNTIFS(
      Data[CustomerID], Data[[#This Row],[CustomerID]],
      Data[OrderDate], "&lt;" &amp; EOMONTH(Data[[#This Row],[OrderDate]], -1) + 1
   ) &gt; 0,
   1,
   0
)</f>
        <v>1</v>
      </c>
      <c r="J380">
        <f>YEAR(Data[[#This Row],[OrderDate]])</f>
        <v>2023</v>
      </c>
      <c r="K380" s="2">
        <f>MONTH(Data[[#This Row],[OrderDate]])</f>
        <v>9</v>
      </c>
      <c r="M380" s="12">
        <v>1147</v>
      </c>
      <c r="N380" s="21">
        <f>MAX(Data[OrderDate])-_xlfn.MAXIFS(Data[OrderDate],Data[CustomerID],M380)</f>
        <v>411</v>
      </c>
      <c r="O380" s="22">
        <f>COUNTIFS(Data[CustomerID], M380)</f>
        <v>1</v>
      </c>
      <c r="P380" s="23">
        <f>SUMIFS(Data[Amount], Data[CustomerID], M380)</f>
        <v>299.89999999999998</v>
      </c>
    </row>
    <row r="381" spans="1:16" x14ac:dyDescent="0.25">
      <c r="A381">
        <v>1222</v>
      </c>
      <c r="B381">
        <v>676</v>
      </c>
      <c r="C381" s="1">
        <v>45176</v>
      </c>
      <c r="D381">
        <v>16.350000000000001</v>
      </c>
      <c r="E381" t="s">
        <v>8</v>
      </c>
      <c r="F381" t="s">
        <v>7</v>
      </c>
      <c r="G381">
        <f>COUNTIF(Data[CustomerID], Data[[#This Row],[CustomerID]])</f>
        <v>2</v>
      </c>
      <c r="H381" s="1" t="str">
        <f>TEXT(Data[OrderDate],"yyyy-mmm")</f>
        <v>2023-Sep</v>
      </c>
      <c r="I381">
        <f>IF(
   COUNTIFS(
      Data[CustomerID], Data[[#This Row],[CustomerID]],
      Data[OrderDate], "&lt;" &amp; EOMONTH(Data[[#This Row],[OrderDate]], -1) + 1
   ) &gt; 0,
   1,
   0
)</f>
        <v>0</v>
      </c>
      <c r="J381">
        <f>YEAR(Data[[#This Row],[OrderDate]])</f>
        <v>2023</v>
      </c>
      <c r="K381" s="2">
        <f>MONTH(Data[[#This Row],[OrderDate]])</f>
        <v>9</v>
      </c>
      <c r="M381" s="12">
        <v>1724</v>
      </c>
      <c r="N381" s="21">
        <f>MAX(Data[OrderDate])-_xlfn.MAXIFS(Data[OrderDate],Data[CustomerID],M381)</f>
        <v>55</v>
      </c>
      <c r="O381" s="22">
        <f>COUNTIFS(Data[CustomerID], M381)</f>
        <v>1</v>
      </c>
      <c r="P381" s="23">
        <f>SUMIFS(Data[Amount], Data[CustomerID], M381)</f>
        <v>298.49</v>
      </c>
    </row>
    <row r="382" spans="1:16" x14ac:dyDescent="0.25">
      <c r="A382">
        <v>1301</v>
      </c>
      <c r="B382">
        <v>719</v>
      </c>
      <c r="C382" s="1">
        <v>45177</v>
      </c>
      <c r="D382">
        <v>233.56</v>
      </c>
      <c r="E382" t="s">
        <v>8</v>
      </c>
      <c r="F382" t="s">
        <v>12</v>
      </c>
      <c r="G382">
        <f>COUNTIF(Data[CustomerID], Data[[#This Row],[CustomerID]])</f>
        <v>2</v>
      </c>
      <c r="H382" s="1" t="str">
        <f>TEXT(Data[OrderDate],"yyyy-mmm")</f>
        <v>2023-Sep</v>
      </c>
      <c r="I382">
        <f>IF(
   COUNTIFS(
      Data[CustomerID], Data[[#This Row],[CustomerID]],
      Data[OrderDate], "&lt;" &amp; EOMONTH(Data[[#This Row],[OrderDate]], -1) + 1
   ) &gt; 0,
   1,
   0
)</f>
        <v>0</v>
      </c>
      <c r="J382">
        <f>YEAR(Data[[#This Row],[OrderDate]])</f>
        <v>2023</v>
      </c>
      <c r="K382" s="2">
        <f>MONTH(Data[[#This Row],[OrderDate]])</f>
        <v>9</v>
      </c>
      <c r="M382" s="12">
        <v>1366</v>
      </c>
      <c r="N382" s="21">
        <f>MAX(Data[OrderDate])-_xlfn.MAXIFS(Data[OrderDate],Data[CustomerID],M382)</f>
        <v>433</v>
      </c>
      <c r="O382" s="22">
        <f>COUNTIFS(Data[CustomerID], M382)</f>
        <v>2</v>
      </c>
      <c r="P382" s="23">
        <f>SUMIFS(Data[Amount], Data[CustomerID], M382)</f>
        <v>295.39</v>
      </c>
    </row>
    <row r="383" spans="1:16" x14ac:dyDescent="0.25">
      <c r="A383">
        <v>1185</v>
      </c>
      <c r="B383">
        <v>821</v>
      </c>
      <c r="C383" s="1">
        <v>45177</v>
      </c>
      <c r="D383">
        <v>51.61</v>
      </c>
      <c r="E383" t="s">
        <v>9</v>
      </c>
      <c r="F383" t="s">
        <v>16</v>
      </c>
      <c r="G383">
        <f>COUNTIF(Data[CustomerID], Data[[#This Row],[CustomerID]])</f>
        <v>1</v>
      </c>
      <c r="H383" s="1" t="str">
        <f>TEXT(Data[OrderDate],"yyyy-mmm")</f>
        <v>2023-Sep</v>
      </c>
      <c r="I383">
        <f>IF(
   COUNTIFS(
      Data[CustomerID], Data[[#This Row],[CustomerID]],
      Data[OrderDate], "&lt;" &amp; EOMONTH(Data[[#This Row],[OrderDate]], -1) + 1
   ) &gt; 0,
   1,
   0
)</f>
        <v>0</v>
      </c>
      <c r="J383">
        <f>YEAR(Data[[#This Row],[OrderDate]])</f>
        <v>2023</v>
      </c>
      <c r="K383" s="2">
        <f>MONTH(Data[[#This Row],[OrderDate]])</f>
        <v>9</v>
      </c>
      <c r="M383" s="12">
        <v>1416</v>
      </c>
      <c r="N383" s="21">
        <f>MAX(Data[OrderDate])-_xlfn.MAXIFS(Data[OrderDate],Data[CustomerID],M383)</f>
        <v>684</v>
      </c>
      <c r="O383" s="22">
        <f>COUNTIFS(Data[CustomerID], M383)</f>
        <v>1</v>
      </c>
      <c r="P383" s="23">
        <f>SUMIFS(Data[Amount], Data[CustomerID], M383)</f>
        <v>294.98</v>
      </c>
    </row>
    <row r="384" spans="1:16" x14ac:dyDescent="0.25">
      <c r="A384">
        <v>1647</v>
      </c>
      <c r="B384">
        <v>139</v>
      </c>
      <c r="C384" s="1">
        <v>45179</v>
      </c>
      <c r="D384">
        <v>130</v>
      </c>
      <c r="E384" t="s">
        <v>20</v>
      </c>
      <c r="F384" t="s">
        <v>7</v>
      </c>
      <c r="G384">
        <f>COUNTIF(Data[CustomerID], Data[[#This Row],[CustomerID]])</f>
        <v>3</v>
      </c>
      <c r="H384" s="1" t="str">
        <f>TEXT(Data[OrderDate],"yyyy-mmm")</f>
        <v>2023-Sep</v>
      </c>
      <c r="I384">
        <f>IF(
   COUNTIFS(
      Data[CustomerID], Data[[#This Row],[CustomerID]],
      Data[OrderDate], "&lt;" &amp; EOMONTH(Data[[#This Row],[OrderDate]], -1) + 1
   ) &gt; 0,
   1,
   0
)</f>
        <v>0</v>
      </c>
      <c r="J384">
        <f>YEAR(Data[[#This Row],[OrderDate]])</f>
        <v>2023</v>
      </c>
      <c r="K384" s="2">
        <f>MONTH(Data[[#This Row],[OrderDate]])</f>
        <v>9</v>
      </c>
      <c r="M384" s="12">
        <v>1047</v>
      </c>
      <c r="N384" s="21">
        <f>MAX(Data[OrderDate])-_xlfn.MAXIFS(Data[OrderDate],Data[CustomerID],M384)</f>
        <v>194</v>
      </c>
      <c r="O384" s="22">
        <f>COUNTIFS(Data[CustomerID], M384)</f>
        <v>1</v>
      </c>
      <c r="P384" s="23">
        <f>SUMIFS(Data[Amount], Data[CustomerID], M384)</f>
        <v>294.41000000000003</v>
      </c>
    </row>
    <row r="385" spans="1:16" x14ac:dyDescent="0.25">
      <c r="A385">
        <v>1863</v>
      </c>
      <c r="B385">
        <v>340</v>
      </c>
      <c r="C385" s="1">
        <v>45180</v>
      </c>
      <c r="D385">
        <v>203.59</v>
      </c>
      <c r="E385" t="s">
        <v>9</v>
      </c>
      <c r="F385" t="s">
        <v>10</v>
      </c>
      <c r="G385">
        <f>COUNTIF(Data[CustomerID], Data[[#This Row],[CustomerID]])</f>
        <v>2</v>
      </c>
      <c r="H385" s="1" t="str">
        <f>TEXT(Data[OrderDate],"yyyy-mmm")</f>
        <v>2023-Sep</v>
      </c>
      <c r="I385">
        <f>IF(
   COUNTIFS(
      Data[CustomerID], Data[[#This Row],[CustomerID]],
      Data[OrderDate], "&lt;" &amp; EOMONTH(Data[[#This Row],[OrderDate]], -1) + 1
   ) &gt; 0,
   1,
   0
)</f>
        <v>0</v>
      </c>
      <c r="J385">
        <f>YEAR(Data[[#This Row],[OrderDate]])</f>
        <v>2023</v>
      </c>
      <c r="K385" s="2">
        <f>MONTH(Data[[#This Row],[OrderDate]])</f>
        <v>9</v>
      </c>
      <c r="M385" s="12">
        <v>1262</v>
      </c>
      <c r="N385" s="21">
        <f>MAX(Data[OrderDate])-_xlfn.MAXIFS(Data[OrderDate],Data[CustomerID],M385)</f>
        <v>605</v>
      </c>
      <c r="O385" s="22">
        <f>COUNTIFS(Data[CustomerID], M385)</f>
        <v>1</v>
      </c>
      <c r="P385" s="23">
        <f>SUMIFS(Data[Amount], Data[CustomerID], M385)</f>
        <v>292.33999999999997</v>
      </c>
    </row>
    <row r="386" spans="1:16" x14ac:dyDescent="0.25">
      <c r="A386">
        <v>1001</v>
      </c>
      <c r="B386">
        <v>368</v>
      </c>
      <c r="C386" s="1">
        <v>45180</v>
      </c>
      <c r="D386">
        <v>214.23</v>
      </c>
      <c r="E386" t="s">
        <v>8</v>
      </c>
      <c r="F386" t="s">
        <v>10</v>
      </c>
      <c r="G386">
        <f>COUNTIF(Data[CustomerID], Data[[#This Row],[CustomerID]])</f>
        <v>3</v>
      </c>
      <c r="H386" s="1" t="str">
        <f>TEXT(Data[OrderDate],"yyyy-mmm")</f>
        <v>2023-Sep</v>
      </c>
      <c r="I386">
        <f>IF(
   COUNTIFS(
      Data[CustomerID], Data[[#This Row],[CustomerID]],
      Data[OrderDate], "&lt;" &amp; EOMONTH(Data[[#This Row],[OrderDate]], -1) + 1
   ) &gt; 0,
   1,
   0
)</f>
        <v>1</v>
      </c>
      <c r="J386">
        <f>YEAR(Data[[#This Row],[OrderDate]])</f>
        <v>2023</v>
      </c>
      <c r="K386" s="2">
        <f>MONTH(Data[[#This Row],[OrderDate]])</f>
        <v>9</v>
      </c>
      <c r="M386" s="12">
        <v>1899</v>
      </c>
      <c r="N386" s="21">
        <f>MAX(Data[OrderDate])-_xlfn.MAXIFS(Data[OrderDate],Data[CustomerID],M386)</f>
        <v>323</v>
      </c>
      <c r="O386" s="22">
        <f>COUNTIFS(Data[CustomerID], M386)</f>
        <v>1</v>
      </c>
      <c r="P386" s="23">
        <f>SUMIFS(Data[Amount], Data[CustomerID], M386)</f>
        <v>290.70999999999998</v>
      </c>
    </row>
    <row r="387" spans="1:16" x14ac:dyDescent="0.25">
      <c r="A387">
        <v>1505</v>
      </c>
      <c r="B387">
        <v>534</v>
      </c>
      <c r="C387" s="1">
        <v>45182</v>
      </c>
      <c r="D387">
        <v>23.82</v>
      </c>
      <c r="E387" t="s">
        <v>20</v>
      </c>
      <c r="F387" t="s">
        <v>16</v>
      </c>
      <c r="G387">
        <f>COUNTIF(Data[CustomerID], Data[[#This Row],[CustomerID]])</f>
        <v>3</v>
      </c>
      <c r="H387" s="1" t="str">
        <f>TEXT(Data[OrderDate],"yyyy-mmm")</f>
        <v>2023-Sep</v>
      </c>
      <c r="I387">
        <f>IF(
   COUNTIFS(
      Data[CustomerID], Data[[#This Row],[CustomerID]],
      Data[OrderDate], "&lt;" &amp; EOMONTH(Data[[#This Row],[OrderDate]], -1) + 1
   ) &gt; 0,
   1,
   0
)</f>
        <v>1</v>
      </c>
      <c r="J387">
        <f>YEAR(Data[[#This Row],[OrderDate]])</f>
        <v>2023</v>
      </c>
      <c r="K387" s="2">
        <f>MONTH(Data[[#This Row],[OrderDate]])</f>
        <v>9</v>
      </c>
      <c r="M387" s="12">
        <v>1503</v>
      </c>
      <c r="N387" s="21">
        <f>MAX(Data[OrderDate])-_xlfn.MAXIFS(Data[OrderDate],Data[CustomerID],M387)</f>
        <v>282</v>
      </c>
      <c r="O387" s="22">
        <f>COUNTIFS(Data[CustomerID], M387)</f>
        <v>1</v>
      </c>
      <c r="P387" s="23">
        <f>SUMIFS(Data[Amount], Data[CustomerID], M387)</f>
        <v>289.70999999999998</v>
      </c>
    </row>
    <row r="388" spans="1:16" x14ac:dyDescent="0.25">
      <c r="A388">
        <v>1520</v>
      </c>
      <c r="B388">
        <v>136</v>
      </c>
      <c r="C388" s="1">
        <v>45183</v>
      </c>
      <c r="D388">
        <v>227.47</v>
      </c>
      <c r="E388" t="s">
        <v>20</v>
      </c>
      <c r="F388" t="s">
        <v>10</v>
      </c>
      <c r="G388">
        <f>COUNTIF(Data[CustomerID], Data[[#This Row],[CustomerID]])</f>
        <v>1</v>
      </c>
      <c r="H388" s="1" t="str">
        <f>TEXT(Data[OrderDate],"yyyy-mmm")</f>
        <v>2023-Sep</v>
      </c>
      <c r="I388">
        <f>IF(
   COUNTIFS(
      Data[CustomerID], Data[[#This Row],[CustomerID]],
      Data[OrderDate], "&lt;" &amp; EOMONTH(Data[[#This Row],[OrderDate]], -1) + 1
   ) &gt; 0,
   1,
   0
)</f>
        <v>0</v>
      </c>
      <c r="J388">
        <f>YEAR(Data[[#This Row],[OrderDate]])</f>
        <v>2023</v>
      </c>
      <c r="K388" s="2">
        <f>MONTH(Data[[#This Row],[OrderDate]])</f>
        <v>9</v>
      </c>
      <c r="M388" s="12">
        <v>1152</v>
      </c>
      <c r="N388" s="21">
        <f>MAX(Data[OrderDate])-_xlfn.MAXIFS(Data[OrderDate],Data[CustomerID],M388)</f>
        <v>699</v>
      </c>
      <c r="O388" s="22">
        <f>COUNTIFS(Data[CustomerID], M388)</f>
        <v>1</v>
      </c>
      <c r="P388" s="23">
        <f>SUMIFS(Data[Amount], Data[CustomerID], M388)</f>
        <v>289.42</v>
      </c>
    </row>
    <row r="389" spans="1:16" x14ac:dyDescent="0.25">
      <c r="A389">
        <v>1675</v>
      </c>
      <c r="B389">
        <v>961</v>
      </c>
      <c r="C389" s="1">
        <v>45183</v>
      </c>
      <c r="D389">
        <v>38.83</v>
      </c>
      <c r="E389" t="s">
        <v>8</v>
      </c>
      <c r="F389" t="s">
        <v>14</v>
      </c>
      <c r="G389">
        <f>COUNTIF(Data[CustomerID], Data[[#This Row],[CustomerID]])</f>
        <v>3</v>
      </c>
      <c r="H389" s="1" t="str">
        <f>TEXT(Data[OrderDate],"yyyy-mmm")</f>
        <v>2023-Sep</v>
      </c>
      <c r="I389">
        <f>IF(
   COUNTIFS(
      Data[CustomerID], Data[[#This Row],[CustomerID]],
      Data[OrderDate], "&lt;" &amp; EOMONTH(Data[[#This Row],[OrderDate]], -1) + 1
   ) &gt; 0,
   1,
   0
)</f>
        <v>1</v>
      </c>
      <c r="J389">
        <f>YEAR(Data[[#This Row],[OrderDate]])</f>
        <v>2023</v>
      </c>
      <c r="K389" s="2">
        <f>MONTH(Data[[#This Row],[OrderDate]])</f>
        <v>9</v>
      </c>
      <c r="M389" s="12">
        <v>1908</v>
      </c>
      <c r="N389" s="21">
        <f>MAX(Data[OrderDate])-_xlfn.MAXIFS(Data[OrderDate],Data[CustomerID],M389)</f>
        <v>351</v>
      </c>
      <c r="O389" s="22">
        <f>COUNTIFS(Data[CustomerID], M389)</f>
        <v>1</v>
      </c>
      <c r="P389" s="23">
        <f>SUMIFS(Data[Amount], Data[CustomerID], M389)</f>
        <v>288.81</v>
      </c>
    </row>
    <row r="390" spans="1:16" x14ac:dyDescent="0.25">
      <c r="A390">
        <v>1181</v>
      </c>
      <c r="B390">
        <v>876</v>
      </c>
      <c r="C390" s="1">
        <v>45184</v>
      </c>
      <c r="D390">
        <v>192.62</v>
      </c>
      <c r="E390" t="s">
        <v>20</v>
      </c>
      <c r="F390" t="s">
        <v>10</v>
      </c>
      <c r="G390">
        <f>COUNTIF(Data[CustomerID], Data[[#This Row],[CustomerID]])</f>
        <v>1</v>
      </c>
      <c r="H390" s="1" t="str">
        <f>TEXT(Data[OrderDate],"yyyy-mmm")</f>
        <v>2023-Sep</v>
      </c>
      <c r="I390">
        <f>IF(
   COUNTIFS(
      Data[CustomerID], Data[[#This Row],[CustomerID]],
      Data[OrderDate], "&lt;" &amp; EOMONTH(Data[[#This Row],[OrderDate]], -1) + 1
   ) &gt; 0,
   1,
   0
)</f>
        <v>0</v>
      </c>
      <c r="J390">
        <f>YEAR(Data[[#This Row],[OrderDate]])</f>
        <v>2023</v>
      </c>
      <c r="K390" s="2">
        <f>MONTH(Data[[#This Row],[OrderDate]])</f>
        <v>9</v>
      </c>
      <c r="M390" s="12">
        <v>1456</v>
      </c>
      <c r="N390" s="21">
        <f>MAX(Data[OrderDate])-_xlfn.MAXIFS(Data[OrderDate],Data[CustomerID],M390)</f>
        <v>356</v>
      </c>
      <c r="O390" s="22">
        <f>COUNTIFS(Data[CustomerID], M390)</f>
        <v>1</v>
      </c>
      <c r="P390" s="23">
        <f>SUMIFS(Data[Amount], Data[CustomerID], M390)</f>
        <v>283.19</v>
      </c>
    </row>
    <row r="391" spans="1:16" x14ac:dyDescent="0.25">
      <c r="A391">
        <v>1224</v>
      </c>
      <c r="B391">
        <v>255</v>
      </c>
      <c r="C391" s="1">
        <v>45185</v>
      </c>
      <c r="D391">
        <v>448.87</v>
      </c>
      <c r="E391" t="s">
        <v>9</v>
      </c>
      <c r="F391" t="s">
        <v>14</v>
      </c>
      <c r="G391">
        <f>COUNTIF(Data[CustomerID], Data[[#This Row],[CustomerID]])</f>
        <v>3</v>
      </c>
      <c r="H391" s="1" t="str">
        <f>TEXT(Data[OrderDate],"yyyy-mmm")</f>
        <v>2023-Sep</v>
      </c>
      <c r="I391">
        <f>IF(
   COUNTIFS(
      Data[CustomerID], Data[[#This Row],[CustomerID]],
      Data[OrderDate], "&lt;" &amp; EOMONTH(Data[[#This Row],[OrderDate]], -1) + 1
   ) &gt; 0,
   1,
   0
)</f>
        <v>1</v>
      </c>
      <c r="J391">
        <f>YEAR(Data[[#This Row],[OrderDate]])</f>
        <v>2023</v>
      </c>
      <c r="K391" s="2">
        <f>MONTH(Data[[#This Row],[OrderDate]])</f>
        <v>9</v>
      </c>
      <c r="M391" s="12">
        <v>1378</v>
      </c>
      <c r="N391" s="21">
        <f>MAX(Data[OrderDate])-_xlfn.MAXIFS(Data[OrderDate],Data[CustomerID],M391)</f>
        <v>314</v>
      </c>
      <c r="O391" s="22">
        <f>COUNTIFS(Data[CustomerID], M391)</f>
        <v>1</v>
      </c>
      <c r="P391" s="23">
        <f>SUMIFS(Data[Amount], Data[CustomerID], M391)</f>
        <v>281.27999999999997</v>
      </c>
    </row>
    <row r="392" spans="1:16" x14ac:dyDescent="0.25">
      <c r="A392">
        <v>1595</v>
      </c>
      <c r="B392">
        <v>779</v>
      </c>
      <c r="C392" s="1">
        <v>45185</v>
      </c>
      <c r="D392">
        <v>48.98</v>
      </c>
      <c r="E392" t="s">
        <v>15</v>
      </c>
      <c r="F392" t="s">
        <v>18</v>
      </c>
      <c r="G392">
        <f>COUNTIF(Data[CustomerID], Data[[#This Row],[CustomerID]])</f>
        <v>1</v>
      </c>
      <c r="H392" s="1" t="str">
        <f>TEXT(Data[OrderDate],"yyyy-mmm")</f>
        <v>2023-Sep</v>
      </c>
      <c r="I392">
        <f>IF(
   COUNTIFS(
      Data[CustomerID], Data[[#This Row],[CustomerID]],
      Data[OrderDate], "&lt;" &amp; EOMONTH(Data[[#This Row],[OrderDate]], -1) + 1
   ) &gt; 0,
   1,
   0
)</f>
        <v>0</v>
      </c>
      <c r="J392">
        <f>YEAR(Data[[#This Row],[OrderDate]])</f>
        <v>2023</v>
      </c>
      <c r="K392" s="2">
        <f>MONTH(Data[[#This Row],[OrderDate]])</f>
        <v>9</v>
      </c>
      <c r="M392" s="12">
        <v>1692</v>
      </c>
      <c r="N392" s="21">
        <f>MAX(Data[OrderDate])-_xlfn.MAXIFS(Data[OrderDate],Data[CustomerID],M392)</f>
        <v>662</v>
      </c>
      <c r="O392" s="22">
        <f>COUNTIFS(Data[CustomerID], M392)</f>
        <v>1</v>
      </c>
      <c r="P392" s="23">
        <f>SUMIFS(Data[Amount], Data[CustomerID], M392)</f>
        <v>281.2</v>
      </c>
    </row>
    <row r="393" spans="1:16" x14ac:dyDescent="0.25">
      <c r="A393">
        <v>1663</v>
      </c>
      <c r="B393">
        <v>259</v>
      </c>
      <c r="C393" s="1">
        <v>45187</v>
      </c>
      <c r="D393">
        <v>193.14</v>
      </c>
      <c r="E393" t="s">
        <v>8</v>
      </c>
      <c r="F393" t="s">
        <v>18</v>
      </c>
      <c r="G393">
        <f>COUNTIF(Data[CustomerID], Data[[#This Row],[CustomerID]])</f>
        <v>4</v>
      </c>
      <c r="H393" s="1" t="str">
        <f>TEXT(Data[OrderDate],"yyyy-mmm")</f>
        <v>2023-Sep</v>
      </c>
      <c r="I393">
        <f>IF(
   COUNTIFS(
      Data[CustomerID], Data[[#This Row],[CustomerID]],
      Data[OrderDate], "&lt;" &amp; EOMONTH(Data[[#This Row],[OrderDate]], -1) + 1
   ) &gt; 0,
   1,
   0
)</f>
        <v>1</v>
      </c>
      <c r="J393">
        <f>YEAR(Data[[#This Row],[OrderDate]])</f>
        <v>2023</v>
      </c>
      <c r="K393" s="2">
        <f>MONTH(Data[[#This Row],[OrderDate]])</f>
        <v>9</v>
      </c>
      <c r="M393" s="12">
        <v>1173</v>
      </c>
      <c r="N393" s="21">
        <f>MAX(Data[OrderDate])-_xlfn.MAXIFS(Data[OrderDate],Data[CustomerID],M393)</f>
        <v>484</v>
      </c>
      <c r="O393" s="22">
        <f>COUNTIFS(Data[CustomerID], M393)</f>
        <v>1</v>
      </c>
      <c r="P393" s="23">
        <f>SUMIFS(Data[Amount], Data[CustomerID], M393)</f>
        <v>281.12</v>
      </c>
    </row>
    <row r="394" spans="1:16" x14ac:dyDescent="0.25">
      <c r="A394">
        <v>1472</v>
      </c>
      <c r="B394">
        <v>354</v>
      </c>
      <c r="C394" s="1">
        <v>45187</v>
      </c>
      <c r="D394">
        <v>99.21</v>
      </c>
      <c r="E394" t="s">
        <v>9</v>
      </c>
      <c r="F394" t="s">
        <v>19</v>
      </c>
      <c r="G394">
        <f>COUNTIF(Data[CustomerID], Data[[#This Row],[CustomerID]])</f>
        <v>3</v>
      </c>
      <c r="H394" s="1" t="str">
        <f>TEXT(Data[OrderDate],"yyyy-mmm")</f>
        <v>2023-Sep</v>
      </c>
      <c r="I394">
        <f>IF(
   COUNTIFS(
      Data[CustomerID], Data[[#This Row],[CustomerID]],
      Data[OrderDate], "&lt;" &amp; EOMONTH(Data[[#This Row],[OrderDate]], -1) + 1
   ) &gt; 0,
   1,
   0
)</f>
        <v>1</v>
      </c>
      <c r="J394">
        <f>YEAR(Data[[#This Row],[OrderDate]])</f>
        <v>2023</v>
      </c>
      <c r="K394" s="2">
        <f>MONTH(Data[[#This Row],[OrderDate]])</f>
        <v>9</v>
      </c>
      <c r="M394" s="12">
        <v>1041</v>
      </c>
      <c r="N394" s="21">
        <f>MAX(Data[OrderDate])-_xlfn.MAXIFS(Data[OrderDate],Data[CustomerID],M394)</f>
        <v>372</v>
      </c>
      <c r="O394" s="22">
        <f>COUNTIFS(Data[CustomerID], M394)</f>
        <v>1</v>
      </c>
      <c r="P394" s="23">
        <f>SUMIFS(Data[Amount], Data[CustomerID], M394)</f>
        <v>278.49</v>
      </c>
    </row>
    <row r="395" spans="1:16" x14ac:dyDescent="0.25">
      <c r="A395">
        <v>1827</v>
      </c>
      <c r="B395">
        <v>533</v>
      </c>
      <c r="C395" s="1">
        <v>45187</v>
      </c>
      <c r="D395">
        <v>28.68</v>
      </c>
      <c r="E395" t="s">
        <v>13</v>
      </c>
      <c r="F395" t="s">
        <v>18</v>
      </c>
      <c r="G395">
        <f>COUNTIF(Data[CustomerID], Data[[#This Row],[CustomerID]])</f>
        <v>1</v>
      </c>
      <c r="H395" s="1" t="str">
        <f>TEXT(Data[OrderDate],"yyyy-mmm")</f>
        <v>2023-Sep</v>
      </c>
      <c r="I395">
        <f>IF(
   COUNTIFS(
      Data[CustomerID], Data[[#This Row],[CustomerID]],
      Data[OrderDate], "&lt;" &amp; EOMONTH(Data[[#This Row],[OrderDate]], -1) + 1
   ) &gt; 0,
   1,
   0
)</f>
        <v>0</v>
      </c>
      <c r="J395">
        <f>YEAR(Data[[#This Row],[OrderDate]])</f>
        <v>2023</v>
      </c>
      <c r="K395" s="2">
        <f>MONTH(Data[[#This Row],[OrderDate]])</f>
        <v>9</v>
      </c>
      <c r="M395" s="12">
        <v>1150</v>
      </c>
      <c r="N395" s="21">
        <f>MAX(Data[OrderDate])-_xlfn.MAXIFS(Data[OrderDate],Data[CustomerID],M395)</f>
        <v>163</v>
      </c>
      <c r="O395" s="22">
        <f>COUNTIFS(Data[CustomerID], M395)</f>
        <v>2</v>
      </c>
      <c r="P395" s="23">
        <f>SUMIFS(Data[Amount], Data[CustomerID], M395)</f>
        <v>277.35000000000002</v>
      </c>
    </row>
    <row r="396" spans="1:16" x14ac:dyDescent="0.25">
      <c r="A396">
        <v>1143</v>
      </c>
      <c r="B396">
        <v>815</v>
      </c>
      <c r="C396" s="1">
        <v>45187</v>
      </c>
      <c r="D396">
        <v>131.47</v>
      </c>
      <c r="E396" t="s">
        <v>6</v>
      </c>
      <c r="F396" t="s">
        <v>14</v>
      </c>
      <c r="G396">
        <f>COUNTIF(Data[CustomerID], Data[[#This Row],[CustomerID]])</f>
        <v>4</v>
      </c>
      <c r="H396" s="1" t="str">
        <f>TEXT(Data[OrderDate],"yyyy-mmm")</f>
        <v>2023-Sep</v>
      </c>
      <c r="I396">
        <f>IF(
   COUNTIFS(
      Data[CustomerID], Data[[#This Row],[CustomerID]],
      Data[OrderDate], "&lt;" &amp; EOMONTH(Data[[#This Row],[OrderDate]], -1) + 1
   ) &gt; 0,
   1,
   0
)</f>
        <v>0</v>
      </c>
      <c r="J396">
        <f>YEAR(Data[[#This Row],[OrderDate]])</f>
        <v>2023</v>
      </c>
      <c r="K396" s="2">
        <f>MONTH(Data[[#This Row],[OrderDate]])</f>
        <v>9</v>
      </c>
      <c r="M396" s="12">
        <v>1977</v>
      </c>
      <c r="N396" s="21">
        <f>MAX(Data[OrderDate])-_xlfn.MAXIFS(Data[OrderDate],Data[CustomerID],M396)</f>
        <v>398</v>
      </c>
      <c r="O396" s="22">
        <f>COUNTIFS(Data[CustomerID], M396)</f>
        <v>1</v>
      </c>
      <c r="P396" s="23">
        <f>SUMIFS(Data[Amount], Data[CustomerID], M396)</f>
        <v>276.42</v>
      </c>
    </row>
    <row r="397" spans="1:16" x14ac:dyDescent="0.25">
      <c r="A397">
        <v>1518</v>
      </c>
      <c r="B397">
        <v>842</v>
      </c>
      <c r="C397" s="1">
        <v>45188</v>
      </c>
      <c r="D397">
        <v>226.56</v>
      </c>
      <c r="E397" t="s">
        <v>13</v>
      </c>
      <c r="F397" t="s">
        <v>14</v>
      </c>
      <c r="G397">
        <f>COUNTIF(Data[CustomerID], Data[[#This Row],[CustomerID]])</f>
        <v>1</v>
      </c>
      <c r="H397" s="1" t="str">
        <f>TEXT(Data[OrderDate],"yyyy-mmm")</f>
        <v>2023-Sep</v>
      </c>
      <c r="I397">
        <f>IF(
   COUNTIFS(
      Data[CustomerID], Data[[#This Row],[CustomerID]],
      Data[OrderDate], "&lt;" &amp; EOMONTH(Data[[#This Row],[OrderDate]], -1) + 1
   ) &gt; 0,
   1,
   0
)</f>
        <v>0</v>
      </c>
      <c r="J397">
        <f>YEAR(Data[[#This Row],[OrderDate]])</f>
        <v>2023</v>
      </c>
      <c r="K397" s="2">
        <f>MONTH(Data[[#This Row],[OrderDate]])</f>
        <v>9</v>
      </c>
      <c r="M397" s="12">
        <v>1024</v>
      </c>
      <c r="N397" s="21">
        <f>MAX(Data[OrderDate])-_xlfn.MAXIFS(Data[OrderDate],Data[CustomerID],M397)</f>
        <v>505</v>
      </c>
      <c r="O397" s="22">
        <f>COUNTIFS(Data[CustomerID], M397)</f>
        <v>1</v>
      </c>
      <c r="P397" s="23">
        <f>SUMIFS(Data[Amount], Data[CustomerID], M397)</f>
        <v>274.7</v>
      </c>
    </row>
    <row r="398" spans="1:16" x14ac:dyDescent="0.25">
      <c r="A398">
        <v>1348</v>
      </c>
      <c r="B398">
        <v>478</v>
      </c>
      <c r="C398" s="1">
        <v>45190</v>
      </c>
      <c r="D398">
        <v>265.12</v>
      </c>
      <c r="E398" t="s">
        <v>6</v>
      </c>
      <c r="F398" t="s">
        <v>16</v>
      </c>
      <c r="G398">
        <f>COUNTIF(Data[CustomerID], Data[[#This Row],[CustomerID]])</f>
        <v>2</v>
      </c>
      <c r="H398" s="1" t="str">
        <f>TEXT(Data[OrderDate],"yyyy-mmm")</f>
        <v>2023-Sep</v>
      </c>
      <c r="I398">
        <f>IF(
   COUNTIFS(
      Data[CustomerID], Data[[#This Row],[CustomerID]],
      Data[OrderDate], "&lt;" &amp; EOMONTH(Data[[#This Row],[OrderDate]], -1) + 1
   ) &gt; 0,
   1,
   0
)</f>
        <v>0</v>
      </c>
      <c r="J398">
        <f>YEAR(Data[[#This Row],[OrderDate]])</f>
        <v>2023</v>
      </c>
      <c r="K398" s="2">
        <f>MONTH(Data[[#This Row],[OrderDate]])</f>
        <v>9</v>
      </c>
      <c r="M398" s="12">
        <v>1369</v>
      </c>
      <c r="N398" s="21">
        <f>MAX(Data[OrderDate])-_xlfn.MAXIFS(Data[OrderDate],Data[CustomerID],M398)</f>
        <v>7</v>
      </c>
      <c r="O398" s="22">
        <f>COUNTIFS(Data[CustomerID], M398)</f>
        <v>1</v>
      </c>
      <c r="P398" s="23">
        <f>SUMIFS(Data[Amount], Data[CustomerID], M398)</f>
        <v>274.29000000000002</v>
      </c>
    </row>
    <row r="399" spans="1:16" x14ac:dyDescent="0.25">
      <c r="A399">
        <v>1322</v>
      </c>
      <c r="B399">
        <v>501</v>
      </c>
      <c r="C399" s="1">
        <v>45190</v>
      </c>
      <c r="D399">
        <v>136.68</v>
      </c>
      <c r="E399" t="s">
        <v>6</v>
      </c>
      <c r="F399" t="s">
        <v>12</v>
      </c>
      <c r="G399">
        <f>COUNTIF(Data[CustomerID], Data[[#This Row],[CustomerID]])</f>
        <v>2</v>
      </c>
      <c r="H399" s="1" t="str">
        <f>TEXT(Data[OrderDate],"yyyy-mmm")</f>
        <v>2023-Sep</v>
      </c>
      <c r="I399">
        <f>IF(
   COUNTIFS(
      Data[CustomerID], Data[[#This Row],[CustomerID]],
      Data[OrderDate], "&lt;" &amp; EOMONTH(Data[[#This Row],[OrderDate]], -1) + 1
   ) &gt; 0,
   1,
   0
)</f>
        <v>1</v>
      </c>
      <c r="J399">
        <f>YEAR(Data[[#This Row],[OrderDate]])</f>
        <v>2023</v>
      </c>
      <c r="K399" s="2">
        <f>MONTH(Data[[#This Row],[OrderDate]])</f>
        <v>9</v>
      </c>
      <c r="M399" s="12">
        <v>1018</v>
      </c>
      <c r="N399" s="21">
        <f>MAX(Data[OrderDate])-_xlfn.MAXIFS(Data[OrderDate],Data[CustomerID],M399)</f>
        <v>601</v>
      </c>
      <c r="O399" s="22">
        <f>COUNTIFS(Data[CustomerID], M399)</f>
        <v>1</v>
      </c>
      <c r="P399" s="23">
        <f>SUMIFS(Data[Amount], Data[CustomerID], M399)</f>
        <v>273.56</v>
      </c>
    </row>
    <row r="400" spans="1:16" x14ac:dyDescent="0.25">
      <c r="A400">
        <v>1114</v>
      </c>
      <c r="B400">
        <v>734</v>
      </c>
      <c r="C400" s="1">
        <v>45192</v>
      </c>
      <c r="D400">
        <v>461.7</v>
      </c>
      <c r="E400" t="s">
        <v>8</v>
      </c>
      <c r="F400" t="s">
        <v>16</v>
      </c>
      <c r="G400">
        <f>COUNTIF(Data[CustomerID], Data[[#This Row],[CustomerID]])</f>
        <v>1</v>
      </c>
      <c r="H400" s="1" t="str">
        <f>TEXT(Data[OrderDate],"yyyy-mmm")</f>
        <v>2023-Sep</v>
      </c>
      <c r="I400">
        <f>IF(
   COUNTIFS(
      Data[CustomerID], Data[[#This Row],[CustomerID]],
      Data[OrderDate], "&lt;" &amp; EOMONTH(Data[[#This Row],[OrderDate]], -1) + 1
   ) &gt; 0,
   1,
   0
)</f>
        <v>0</v>
      </c>
      <c r="J400">
        <f>YEAR(Data[[#This Row],[OrderDate]])</f>
        <v>2023</v>
      </c>
      <c r="K400" s="2">
        <f>MONTH(Data[[#This Row],[OrderDate]])</f>
        <v>9</v>
      </c>
      <c r="M400" s="12">
        <v>1772</v>
      </c>
      <c r="N400" s="21">
        <f>MAX(Data[OrderDate])-_xlfn.MAXIFS(Data[OrderDate],Data[CustomerID],M400)</f>
        <v>335</v>
      </c>
      <c r="O400" s="22">
        <f>COUNTIFS(Data[CustomerID], M400)</f>
        <v>1</v>
      </c>
      <c r="P400" s="23">
        <f>SUMIFS(Data[Amount], Data[CustomerID], M400)</f>
        <v>272.25</v>
      </c>
    </row>
    <row r="401" spans="1:16" x14ac:dyDescent="0.25">
      <c r="A401">
        <v>1366</v>
      </c>
      <c r="B401">
        <v>802</v>
      </c>
      <c r="C401" s="1">
        <v>45193</v>
      </c>
      <c r="D401">
        <v>181.21</v>
      </c>
      <c r="E401" t="s">
        <v>17</v>
      </c>
      <c r="F401" t="s">
        <v>18</v>
      </c>
      <c r="G401">
        <f>COUNTIF(Data[CustomerID], Data[[#This Row],[CustomerID]])</f>
        <v>2</v>
      </c>
      <c r="H401" s="1" t="str">
        <f>TEXT(Data[OrderDate],"yyyy-mmm")</f>
        <v>2023-Sep</v>
      </c>
      <c r="I401">
        <f>IF(
   COUNTIFS(
      Data[CustomerID], Data[[#This Row],[CustomerID]],
      Data[OrderDate], "&lt;" &amp; EOMONTH(Data[[#This Row],[OrderDate]], -1) + 1
   ) &gt; 0,
   1,
   0
)</f>
        <v>1</v>
      </c>
      <c r="J401">
        <f>YEAR(Data[[#This Row],[OrderDate]])</f>
        <v>2023</v>
      </c>
      <c r="K401" s="2">
        <f>MONTH(Data[[#This Row],[OrderDate]])</f>
        <v>9</v>
      </c>
      <c r="M401" s="12">
        <v>1950</v>
      </c>
      <c r="N401" s="21">
        <f>MAX(Data[OrderDate])-_xlfn.MAXIFS(Data[OrderDate],Data[CustomerID],M401)</f>
        <v>473</v>
      </c>
      <c r="O401" s="22">
        <f>COUNTIFS(Data[CustomerID], M401)</f>
        <v>1</v>
      </c>
      <c r="P401" s="23">
        <f>SUMIFS(Data[Amount], Data[CustomerID], M401)</f>
        <v>272.08</v>
      </c>
    </row>
    <row r="402" spans="1:16" x14ac:dyDescent="0.25">
      <c r="A402">
        <v>1686</v>
      </c>
      <c r="B402">
        <v>50</v>
      </c>
      <c r="C402" s="1">
        <v>45194</v>
      </c>
      <c r="D402">
        <v>332.11</v>
      </c>
      <c r="E402" t="s">
        <v>17</v>
      </c>
      <c r="F402" t="s">
        <v>7</v>
      </c>
      <c r="G402">
        <f>COUNTIF(Data[CustomerID], Data[[#This Row],[CustomerID]])</f>
        <v>1</v>
      </c>
      <c r="H402" s="1" t="str">
        <f>TEXT(Data[OrderDate],"yyyy-mmm")</f>
        <v>2023-Sep</v>
      </c>
      <c r="I402">
        <f>IF(
   COUNTIFS(
      Data[CustomerID], Data[[#This Row],[CustomerID]],
      Data[OrderDate], "&lt;" &amp; EOMONTH(Data[[#This Row],[OrderDate]], -1) + 1
   ) &gt; 0,
   1,
   0
)</f>
        <v>0</v>
      </c>
      <c r="J402">
        <f>YEAR(Data[[#This Row],[OrderDate]])</f>
        <v>2023</v>
      </c>
      <c r="K402" s="2">
        <f>MONTH(Data[[#This Row],[OrderDate]])</f>
        <v>9</v>
      </c>
      <c r="M402" s="12">
        <v>1836</v>
      </c>
      <c r="N402" s="21">
        <f>MAX(Data[OrderDate])-_xlfn.MAXIFS(Data[OrderDate],Data[CustomerID],M402)</f>
        <v>412</v>
      </c>
      <c r="O402" s="22">
        <f>COUNTIFS(Data[CustomerID], M402)</f>
        <v>2</v>
      </c>
      <c r="P402" s="23">
        <f>SUMIFS(Data[Amount], Data[CustomerID], M402)</f>
        <v>270.22000000000003</v>
      </c>
    </row>
    <row r="403" spans="1:16" x14ac:dyDescent="0.25">
      <c r="A403">
        <v>1991</v>
      </c>
      <c r="B403">
        <v>584</v>
      </c>
      <c r="C403" s="1">
        <v>45194</v>
      </c>
      <c r="D403">
        <v>140.53</v>
      </c>
      <c r="E403" t="s">
        <v>11</v>
      </c>
      <c r="F403" t="s">
        <v>16</v>
      </c>
      <c r="G403">
        <f>COUNTIF(Data[CustomerID], Data[[#This Row],[CustomerID]])</f>
        <v>1</v>
      </c>
      <c r="H403" s="1" t="str">
        <f>TEXT(Data[OrderDate],"yyyy-mmm")</f>
        <v>2023-Sep</v>
      </c>
      <c r="I403">
        <f>IF(
   COUNTIFS(
      Data[CustomerID], Data[[#This Row],[CustomerID]],
      Data[OrderDate], "&lt;" &amp; EOMONTH(Data[[#This Row],[OrderDate]], -1) + 1
   ) &gt; 0,
   1,
   0
)</f>
        <v>0</v>
      </c>
      <c r="J403">
        <f>YEAR(Data[[#This Row],[OrderDate]])</f>
        <v>2023</v>
      </c>
      <c r="K403" s="2">
        <f>MONTH(Data[[#This Row],[OrderDate]])</f>
        <v>9</v>
      </c>
      <c r="M403" s="12">
        <v>1751</v>
      </c>
      <c r="N403" s="21">
        <f>MAX(Data[OrderDate])-_xlfn.MAXIFS(Data[OrderDate],Data[CustomerID],M403)</f>
        <v>54</v>
      </c>
      <c r="O403" s="22">
        <f>COUNTIFS(Data[CustomerID], M403)</f>
        <v>2</v>
      </c>
      <c r="P403" s="23">
        <f>SUMIFS(Data[Amount], Data[CustomerID], M403)</f>
        <v>269.71000000000004</v>
      </c>
    </row>
    <row r="404" spans="1:16" x14ac:dyDescent="0.25">
      <c r="A404">
        <v>1733</v>
      </c>
      <c r="B404">
        <v>666</v>
      </c>
      <c r="C404" s="1">
        <v>45194</v>
      </c>
      <c r="D404">
        <v>437.76</v>
      </c>
      <c r="E404" t="s">
        <v>11</v>
      </c>
      <c r="F404" t="s">
        <v>14</v>
      </c>
      <c r="G404">
        <f>COUNTIF(Data[CustomerID], Data[[#This Row],[CustomerID]])</f>
        <v>2</v>
      </c>
      <c r="H404" s="1" t="str">
        <f>TEXT(Data[OrderDate],"yyyy-mmm")</f>
        <v>2023-Sep</v>
      </c>
      <c r="I404">
        <f>IF(
   COUNTIFS(
      Data[CustomerID], Data[[#This Row],[CustomerID]],
      Data[OrderDate], "&lt;" &amp; EOMONTH(Data[[#This Row],[OrderDate]], -1) + 1
   ) &gt; 0,
   1,
   0
)</f>
        <v>0</v>
      </c>
      <c r="J404">
        <f>YEAR(Data[[#This Row],[OrderDate]])</f>
        <v>2023</v>
      </c>
      <c r="K404" s="2">
        <f>MONTH(Data[[#This Row],[OrderDate]])</f>
        <v>9</v>
      </c>
      <c r="M404" s="12">
        <v>1592</v>
      </c>
      <c r="N404" s="21">
        <f>MAX(Data[OrderDate])-_xlfn.MAXIFS(Data[OrderDate],Data[CustomerID],M404)</f>
        <v>174</v>
      </c>
      <c r="O404" s="22">
        <f>COUNTIFS(Data[CustomerID], M404)</f>
        <v>1</v>
      </c>
      <c r="P404" s="23">
        <f>SUMIFS(Data[Amount], Data[CustomerID], M404)</f>
        <v>269.08999999999997</v>
      </c>
    </row>
    <row r="405" spans="1:16" x14ac:dyDescent="0.25">
      <c r="A405">
        <v>1854</v>
      </c>
      <c r="B405">
        <v>289</v>
      </c>
      <c r="C405" s="1">
        <v>45196</v>
      </c>
      <c r="D405">
        <v>60.59</v>
      </c>
      <c r="E405" t="s">
        <v>15</v>
      </c>
      <c r="F405" t="s">
        <v>14</v>
      </c>
      <c r="G405">
        <f>COUNTIF(Data[CustomerID], Data[[#This Row],[CustomerID]])</f>
        <v>1</v>
      </c>
      <c r="H405" s="1" t="str">
        <f>TEXT(Data[OrderDate],"yyyy-mmm")</f>
        <v>2023-Sep</v>
      </c>
      <c r="I405">
        <f>IF(
   COUNTIFS(
      Data[CustomerID], Data[[#This Row],[CustomerID]],
      Data[OrderDate], "&lt;" &amp; EOMONTH(Data[[#This Row],[OrderDate]], -1) + 1
   ) &gt; 0,
   1,
   0
)</f>
        <v>0</v>
      </c>
      <c r="J405">
        <f>YEAR(Data[[#This Row],[OrderDate]])</f>
        <v>2023</v>
      </c>
      <c r="K405" s="2">
        <f>MONTH(Data[[#This Row],[OrderDate]])</f>
        <v>9</v>
      </c>
      <c r="M405" s="12">
        <v>1624</v>
      </c>
      <c r="N405" s="21">
        <f>MAX(Data[OrderDate])-_xlfn.MAXIFS(Data[OrderDate],Data[CustomerID],M405)</f>
        <v>563</v>
      </c>
      <c r="O405" s="22">
        <f>COUNTIFS(Data[CustomerID], M405)</f>
        <v>2</v>
      </c>
      <c r="P405" s="23">
        <f>SUMIFS(Data[Amount], Data[CustomerID], M405)</f>
        <v>268.7</v>
      </c>
    </row>
    <row r="406" spans="1:16" x14ac:dyDescent="0.25">
      <c r="A406">
        <v>1814</v>
      </c>
      <c r="B406">
        <v>919</v>
      </c>
      <c r="C406" s="1">
        <v>45196</v>
      </c>
      <c r="D406">
        <v>111.69</v>
      </c>
      <c r="E406" t="s">
        <v>15</v>
      </c>
      <c r="F406" t="s">
        <v>19</v>
      </c>
      <c r="G406">
        <f>COUNTIF(Data[CustomerID], Data[[#This Row],[CustomerID]])</f>
        <v>2</v>
      </c>
      <c r="H406" s="1" t="str">
        <f>TEXT(Data[OrderDate],"yyyy-mmm")</f>
        <v>2023-Sep</v>
      </c>
      <c r="I406">
        <f>IF(
   COUNTIFS(
      Data[CustomerID], Data[[#This Row],[CustomerID]],
      Data[OrderDate], "&lt;" &amp; EOMONTH(Data[[#This Row],[OrderDate]], -1) + 1
   ) &gt; 0,
   1,
   0
)</f>
        <v>0</v>
      </c>
      <c r="J406">
        <f>YEAR(Data[[#This Row],[OrderDate]])</f>
        <v>2023</v>
      </c>
      <c r="K406" s="2">
        <f>MONTH(Data[[#This Row],[OrderDate]])</f>
        <v>9</v>
      </c>
      <c r="M406" s="12">
        <v>1667</v>
      </c>
      <c r="N406" s="21">
        <f>MAX(Data[OrderDate])-_xlfn.MAXIFS(Data[OrderDate],Data[CustomerID],M406)</f>
        <v>616</v>
      </c>
      <c r="O406" s="22">
        <f>COUNTIFS(Data[CustomerID], M406)</f>
        <v>1</v>
      </c>
      <c r="P406" s="23">
        <f>SUMIFS(Data[Amount], Data[CustomerID], M406)</f>
        <v>268.67</v>
      </c>
    </row>
    <row r="407" spans="1:16" x14ac:dyDescent="0.25">
      <c r="A407">
        <v>1885</v>
      </c>
      <c r="B407">
        <v>942</v>
      </c>
      <c r="C407" s="1">
        <v>45197</v>
      </c>
      <c r="D407">
        <v>13.91</v>
      </c>
      <c r="E407" t="s">
        <v>8</v>
      </c>
      <c r="F407" t="s">
        <v>7</v>
      </c>
      <c r="G407">
        <f>COUNTIF(Data[CustomerID], Data[[#This Row],[CustomerID]])</f>
        <v>2</v>
      </c>
      <c r="H407" s="1" t="str">
        <f>TEXT(Data[OrderDate],"yyyy-mmm")</f>
        <v>2023-Sep</v>
      </c>
      <c r="I407">
        <f>IF(
   COUNTIFS(
      Data[CustomerID], Data[[#This Row],[CustomerID]],
      Data[OrderDate], "&lt;" &amp; EOMONTH(Data[[#This Row],[OrderDate]], -1) + 1
   ) &gt; 0,
   1,
   0
)</f>
        <v>0</v>
      </c>
      <c r="J407">
        <f>YEAR(Data[[#This Row],[OrderDate]])</f>
        <v>2023</v>
      </c>
      <c r="K407" s="2">
        <f>MONTH(Data[[#This Row],[OrderDate]])</f>
        <v>9</v>
      </c>
      <c r="M407" s="12">
        <v>1960</v>
      </c>
      <c r="N407" s="21">
        <f>MAX(Data[OrderDate])-_xlfn.MAXIFS(Data[OrderDate],Data[CustomerID],M407)</f>
        <v>163</v>
      </c>
      <c r="O407" s="22">
        <f>COUNTIFS(Data[CustomerID], M407)</f>
        <v>1</v>
      </c>
      <c r="P407" s="23">
        <f>SUMIFS(Data[Amount], Data[CustomerID], M407)</f>
        <v>268.45999999999998</v>
      </c>
    </row>
    <row r="408" spans="1:16" x14ac:dyDescent="0.25">
      <c r="A408">
        <v>1539</v>
      </c>
      <c r="B408">
        <v>967</v>
      </c>
      <c r="C408" s="1">
        <v>45197</v>
      </c>
      <c r="D408">
        <v>41.75</v>
      </c>
      <c r="E408" t="s">
        <v>17</v>
      </c>
      <c r="F408" t="s">
        <v>12</v>
      </c>
      <c r="G408">
        <f>COUNTIF(Data[CustomerID], Data[[#This Row],[CustomerID]])</f>
        <v>1</v>
      </c>
      <c r="H408" s="1" t="str">
        <f>TEXT(Data[OrderDate],"yyyy-mmm")</f>
        <v>2023-Sep</v>
      </c>
      <c r="I408">
        <f>IF(
   COUNTIFS(
      Data[CustomerID], Data[[#This Row],[CustomerID]],
      Data[OrderDate], "&lt;" &amp; EOMONTH(Data[[#This Row],[OrderDate]], -1) + 1
   ) &gt; 0,
   1,
   0
)</f>
        <v>0</v>
      </c>
      <c r="J408">
        <f>YEAR(Data[[#This Row],[OrderDate]])</f>
        <v>2023</v>
      </c>
      <c r="K408" s="2">
        <f>MONTH(Data[[#This Row],[OrderDate]])</f>
        <v>9</v>
      </c>
      <c r="M408" s="12">
        <v>1625</v>
      </c>
      <c r="N408" s="21">
        <f>MAX(Data[OrderDate])-_xlfn.MAXIFS(Data[OrderDate],Data[CustomerID],M408)</f>
        <v>622</v>
      </c>
      <c r="O408" s="22">
        <f>COUNTIFS(Data[CustomerID], M408)</f>
        <v>2</v>
      </c>
      <c r="P408" s="23">
        <f>SUMIFS(Data[Amount], Data[CustomerID], M408)</f>
        <v>267</v>
      </c>
    </row>
    <row r="409" spans="1:16" x14ac:dyDescent="0.25">
      <c r="A409">
        <v>1921</v>
      </c>
      <c r="B409">
        <v>730</v>
      </c>
      <c r="C409" s="1">
        <v>45198</v>
      </c>
      <c r="D409">
        <v>33.35</v>
      </c>
      <c r="E409" t="s">
        <v>11</v>
      </c>
      <c r="F409" t="s">
        <v>10</v>
      </c>
      <c r="G409">
        <f>COUNTIF(Data[CustomerID], Data[[#This Row],[CustomerID]])</f>
        <v>2</v>
      </c>
      <c r="H409" s="1" t="str">
        <f>TEXT(Data[OrderDate],"yyyy-mmm")</f>
        <v>2023-Sep</v>
      </c>
      <c r="I409">
        <f>IF(
   COUNTIFS(
      Data[CustomerID], Data[[#This Row],[CustomerID]],
      Data[OrderDate], "&lt;" &amp; EOMONTH(Data[[#This Row],[OrderDate]], -1) + 1
   ) &gt; 0,
   1,
   0
)</f>
        <v>1</v>
      </c>
      <c r="J409">
        <f>YEAR(Data[[#This Row],[OrderDate]])</f>
        <v>2023</v>
      </c>
      <c r="K409" s="2">
        <f>MONTH(Data[[#This Row],[OrderDate]])</f>
        <v>9</v>
      </c>
      <c r="M409" s="12">
        <v>1512</v>
      </c>
      <c r="N409" s="21">
        <f>MAX(Data[OrderDate])-_xlfn.MAXIFS(Data[OrderDate],Data[CustomerID],M409)</f>
        <v>303</v>
      </c>
      <c r="O409" s="22">
        <f>COUNTIFS(Data[CustomerID], M409)</f>
        <v>2</v>
      </c>
      <c r="P409" s="23">
        <f>SUMIFS(Data[Amount], Data[CustomerID], M409)</f>
        <v>266.76</v>
      </c>
    </row>
    <row r="410" spans="1:16" x14ac:dyDescent="0.25">
      <c r="A410">
        <v>1683</v>
      </c>
      <c r="B410">
        <v>168</v>
      </c>
      <c r="C410" s="1">
        <v>45199</v>
      </c>
      <c r="D410">
        <v>486.68</v>
      </c>
      <c r="E410" t="s">
        <v>20</v>
      </c>
      <c r="F410" t="s">
        <v>16</v>
      </c>
      <c r="G410">
        <f>COUNTIF(Data[CustomerID], Data[[#This Row],[CustomerID]])</f>
        <v>3</v>
      </c>
      <c r="H410" s="1" t="str">
        <f>TEXT(Data[OrderDate],"yyyy-mmm")</f>
        <v>2023-Sep</v>
      </c>
      <c r="I410">
        <f>IF(
   COUNTIFS(
      Data[CustomerID], Data[[#This Row],[CustomerID]],
      Data[OrderDate], "&lt;" &amp; EOMONTH(Data[[#This Row],[OrderDate]], -1) + 1
   ) &gt; 0,
   1,
   0
)</f>
        <v>1</v>
      </c>
      <c r="J410">
        <f>YEAR(Data[[#This Row],[OrderDate]])</f>
        <v>2023</v>
      </c>
      <c r="K410" s="2">
        <f>MONTH(Data[[#This Row],[OrderDate]])</f>
        <v>9</v>
      </c>
      <c r="M410" s="12">
        <v>1389</v>
      </c>
      <c r="N410" s="21">
        <f>MAX(Data[OrderDate])-_xlfn.MAXIFS(Data[OrderDate],Data[CustomerID],M410)</f>
        <v>37</v>
      </c>
      <c r="O410" s="22">
        <f>COUNTIFS(Data[CustomerID], M410)</f>
        <v>2</v>
      </c>
      <c r="P410" s="23">
        <f>SUMIFS(Data[Amount], Data[CustomerID], M410)</f>
        <v>266.3</v>
      </c>
    </row>
    <row r="411" spans="1:16" x14ac:dyDescent="0.25">
      <c r="A411">
        <v>1895</v>
      </c>
      <c r="B411">
        <v>692</v>
      </c>
      <c r="C411" s="1">
        <v>45199</v>
      </c>
      <c r="D411">
        <v>401.68</v>
      </c>
      <c r="E411" t="s">
        <v>15</v>
      </c>
      <c r="F411" t="s">
        <v>16</v>
      </c>
      <c r="G411">
        <f>COUNTIF(Data[CustomerID], Data[[#This Row],[CustomerID]])</f>
        <v>3</v>
      </c>
      <c r="H411" s="1" t="str">
        <f>TEXT(Data[OrderDate],"yyyy-mmm")</f>
        <v>2023-Sep</v>
      </c>
      <c r="I411">
        <f>IF(
   COUNTIFS(
      Data[CustomerID], Data[[#This Row],[CustomerID]],
      Data[OrderDate], "&lt;" &amp; EOMONTH(Data[[#This Row],[OrderDate]], -1) + 1
   ) &gt; 0,
   1,
   0
)</f>
        <v>0</v>
      </c>
      <c r="J411">
        <f>YEAR(Data[[#This Row],[OrderDate]])</f>
        <v>2023</v>
      </c>
      <c r="K411" s="2">
        <f>MONTH(Data[[#This Row],[OrderDate]])</f>
        <v>9</v>
      </c>
      <c r="M411" s="12">
        <v>1492</v>
      </c>
      <c r="N411" s="21">
        <f>MAX(Data[OrderDate])-_xlfn.MAXIFS(Data[OrderDate],Data[CustomerID],M411)</f>
        <v>271</v>
      </c>
      <c r="O411" s="22">
        <f>COUNTIFS(Data[CustomerID], M411)</f>
        <v>2</v>
      </c>
      <c r="P411" s="23">
        <f>SUMIFS(Data[Amount], Data[CustomerID], M411)</f>
        <v>263.76</v>
      </c>
    </row>
    <row r="412" spans="1:16" x14ac:dyDescent="0.25">
      <c r="A412">
        <v>1814</v>
      </c>
      <c r="B412">
        <v>993</v>
      </c>
      <c r="C412" s="1">
        <v>45199</v>
      </c>
      <c r="D412">
        <v>37.020000000000003</v>
      </c>
      <c r="E412" t="s">
        <v>20</v>
      </c>
      <c r="F412" t="s">
        <v>19</v>
      </c>
      <c r="G412">
        <f>COUNTIF(Data[CustomerID], Data[[#This Row],[CustomerID]])</f>
        <v>2</v>
      </c>
      <c r="H412" s="1" t="str">
        <f>TEXT(Data[OrderDate],"yyyy-mmm")</f>
        <v>2023-Sep</v>
      </c>
      <c r="I412">
        <f>IF(
   COUNTIFS(
      Data[CustomerID], Data[[#This Row],[CustomerID]],
      Data[OrderDate], "&lt;" &amp; EOMONTH(Data[[#This Row],[OrderDate]], -1) + 1
   ) &gt; 0,
   1,
   0
)</f>
        <v>0</v>
      </c>
      <c r="J412">
        <f>YEAR(Data[[#This Row],[OrderDate]])</f>
        <v>2023</v>
      </c>
      <c r="K412" s="2">
        <f>MONTH(Data[[#This Row],[OrderDate]])</f>
        <v>9</v>
      </c>
      <c r="M412" s="12">
        <v>1806</v>
      </c>
      <c r="N412" s="21">
        <f>MAX(Data[OrderDate])-_xlfn.MAXIFS(Data[OrderDate],Data[CustomerID],M412)</f>
        <v>382</v>
      </c>
      <c r="O412" s="22">
        <f>COUNTIFS(Data[CustomerID], M412)</f>
        <v>1</v>
      </c>
      <c r="P412" s="23">
        <f>SUMIFS(Data[Amount], Data[CustomerID], M412)</f>
        <v>263.63</v>
      </c>
    </row>
    <row r="413" spans="1:16" x14ac:dyDescent="0.25">
      <c r="A413">
        <v>1032</v>
      </c>
      <c r="B413">
        <v>160</v>
      </c>
      <c r="C413" s="1">
        <v>45200</v>
      </c>
      <c r="D413">
        <v>56.14</v>
      </c>
      <c r="E413" t="s">
        <v>17</v>
      </c>
      <c r="F413" t="s">
        <v>16</v>
      </c>
      <c r="G413">
        <f>COUNTIF(Data[CustomerID], Data[[#This Row],[CustomerID]])</f>
        <v>2</v>
      </c>
      <c r="H413" s="1" t="str">
        <f>TEXT(Data[OrderDate],"yyyy-mmm")</f>
        <v>2023-Oct</v>
      </c>
      <c r="I413">
        <f>IF(
   COUNTIFS(
      Data[CustomerID], Data[[#This Row],[CustomerID]],
      Data[OrderDate], "&lt;" &amp; EOMONTH(Data[[#This Row],[OrderDate]], -1) + 1
   ) &gt; 0,
   1,
   0
)</f>
        <v>1</v>
      </c>
      <c r="J413">
        <f>YEAR(Data[[#This Row],[OrderDate]])</f>
        <v>2023</v>
      </c>
      <c r="K413" s="2">
        <f>MONTH(Data[[#This Row],[OrderDate]])</f>
        <v>10</v>
      </c>
      <c r="M413" s="12">
        <v>1986</v>
      </c>
      <c r="N413" s="21">
        <f>MAX(Data[OrderDate])-_xlfn.MAXIFS(Data[OrderDate],Data[CustomerID],M413)</f>
        <v>226</v>
      </c>
      <c r="O413" s="22">
        <f>COUNTIFS(Data[CustomerID], M413)</f>
        <v>1</v>
      </c>
      <c r="P413" s="23">
        <f>SUMIFS(Data[Amount], Data[CustomerID], M413)</f>
        <v>263.26</v>
      </c>
    </row>
    <row r="414" spans="1:16" x14ac:dyDescent="0.25">
      <c r="A414">
        <v>1252</v>
      </c>
      <c r="B414">
        <v>721</v>
      </c>
      <c r="C414" s="1">
        <v>45200</v>
      </c>
      <c r="D414">
        <v>220.41</v>
      </c>
      <c r="E414" t="s">
        <v>6</v>
      </c>
      <c r="F414" t="s">
        <v>14</v>
      </c>
      <c r="G414">
        <f>COUNTIF(Data[CustomerID], Data[[#This Row],[CustomerID]])</f>
        <v>5</v>
      </c>
      <c r="H414" s="1" t="str">
        <f>TEXT(Data[OrderDate],"yyyy-mmm")</f>
        <v>2023-Oct</v>
      </c>
      <c r="I414">
        <f>IF(
   COUNTIFS(
      Data[CustomerID], Data[[#This Row],[CustomerID]],
      Data[OrderDate], "&lt;" &amp; EOMONTH(Data[[#This Row],[OrderDate]], -1) + 1
   ) &gt; 0,
   1,
   0
)</f>
        <v>1</v>
      </c>
      <c r="J414">
        <f>YEAR(Data[[#This Row],[OrderDate]])</f>
        <v>2023</v>
      </c>
      <c r="K414" s="2">
        <f>MONTH(Data[[#This Row],[OrderDate]])</f>
        <v>10</v>
      </c>
      <c r="M414" s="12">
        <v>1648</v>
      </c>
      <c r="N414" s="21">
        <f>MAX(Data[OrderDate])-_xlfn.MAXIFS(Data[OrderDate],Data[CustomerID],M414)</f>
        <v>150</v>
      </c>
      <c r="O414" s="22">
        <f>COUNTIFS(Data[CustomerID], M414)</f>
        <v>1</v>
      </c>
      <c r="P414" s="23">
        <f>SUMIFS(Data[Amount], Data[CustomerID], M414)</f>
        <v>263.01</v>
      </c>
    </row>
    <row r="415" spans="1:16" x14ac:dyDescent="0.25">
      <c r="A415">
        <v>1696</v>
      </c>
      <c r="B415">
        <v>646</v>
      </c>
      <c r="C415" s="1">
        <v>45201</v>
      </c>
      <c r="D415">
        <v>380.54</v>
      </c>
      <c r="E415" t="s">
        <v>8</v>
      </c>
      <c r="F415" t="s">
        <v>14</v>
      </c>
      <c r="G415">
        <f>COUNTIF(Data[CustomerID], Data[[#This Row],[CustomerID]])</f>
        <v>1</v>
      </c>
      <c r="H415" s="1" t="str">
        <f>TEXT(Data[OrderDate],"yyyy-mmm")</f>
        <v>2023-Oct</v>
      </c>
      <c r="I415">
        <f>IF(
   COUNTIFS(
      Data[CustomerID], Data[[#This Row],[CustomerID]],
      Data[OrderDate], "&lt;" &amp; EOMONTH(Data[[#This Row],[OrderDate]], -1) + 1
   ) &gt; 0,
   1,
   0
)</f>
        <v>0</v>
      </c>
      <c r="J415">
        <f>YEAR(Data[[#This Row],[OrderDate]])</f>
        <v>2023</v>
      </c>
      <c r="K415" s="2">
        <f>MONTH(Data[[#This Row],[OrderDate]])</f>
        <v>10</v>
      </c>
      <c r="M415" s="12">
        <v>1015</v>
      </c>
      <c r="N415" s="21">
        <f>MAX(Data[OrderDate])-_xlfn.MAXIFS(Data[OrderDate],Data[CustomerID],M415)</f>
        <v>106</v>
      </c>
      <c r="O415" s="22">
        <f>COUNTIFS(Data[CustomerID], M415)</f>
        <v>1</v>
      </c>
      <c r="P415" s="23">
        <f>SUMIFS(Data[Amount], Data[CustomerID], M415)</f>
        <v>262.55</v>
      </c>
    </row>
    <row r="416" spans="1:16" x14ac:dyDescent="0.25">
      <c r="A416">
        <v>1230</v>
      </c>
      <c r="B416">
        <v>205</v>
      </c>
      <c r="C416" s="1">
        <v>45203</v>
      </c>
      <c r="D416">
        <v>162.47</v>
      </c>
      <c r="E416" t="s">
        <v>20</v>
      </c>
      <c r="F416" t="s">
        <v>7</v>
      </c>
      <c r="G416">
        <f>COUNTIF(Data[CustomerID], Data[[#This Row],[CustomerID]])</f>
        <v>3</v>
      </c>
      <c r="H416" s="1" t="str">
        <f>TEXT(Data[OrderDate],"yyyy-mmm")</f>
        <v>2023-Oct</v>
      </c>
      <c r="I416">
        <f>IF(
   COUNTIFS(
      Data[CustomerID], Data[[#This Row],[CustomerID]],
      Data[OrderDate], "&lt;" &amp; EOMONTH(Data[[#This Row],[OrderDate]], -1) + 1
   ) &gt; 0,
   1,
   0
)</f>
        <v>0</v>
      </c>
      <c r="J416">
        <f>YEAR(Data[[#This Row],[OrderDate]])</f>
        <v>2023</v>
      </c>
      <c r="K416" s="2">
        <f>MONTH(Data[[#This Row],[OrderDate]])</f>
        <v>10</v>
      </c>
      <c r="M416" s="12">
        <v>1919</v>
      </c>
      <c r="N416" s="21">
        <f>MAX(Data[OrderDate])-_xlfn.MAXIFS(Data[OrderDate],Data[CustomerID],M416)</f>
        <v>560</v>
      </c>
      <c r="O416" s="22">
        <f>COUNTIFS(Data[CustomerID], M416)</f>
        <v>2</v>
      </c>
      <c r="P416" s="23">
        <f>SUMIFS(Data[Amount], Data[CustomerID], M416)</f>
        <v>260.08999999999997</v>
      </c>
    </row>
    <row r="417" spans="1:16" x14ac:dyDescent="0.25">
      <c r="A417">
        <v>1853</v>
      </c>
      <c r="B417">
        <v>555</v>
      </c>
      <c r="C417" s="1">
        <v>45204</v>
      </c>
      <c r="D417">
        <v>449.96</v>
      </c>
      <c r="E417" t="s">
        <v>15</v>
      </c>
      <c r="F417" t="s">
        <v>10</v>
      </c>
      <c r="G417">
        <f>COUNTIF(Data[CustomerID], Data[[#This Row],[CustomerID]])</f>
        <v>2</v>
      </c>
      <c r="H417" s="1" t="str">
        <f>TEXT(Data[OrderDate],"yyyy-mmm")</f>
        <v>2023-Oct</v>
      </c>
      <c r="I417">
        <f>IF(
   COUNTIFS(
      Data[CustomerID], Data[[#This Row],[CustomerID]],
      Data[OrderDate], "&lt;" &amp; EOMONTH(Data[[#This Row],[OrderDate]], -1) + 1
   ) &gt; 0,
   1,
   0
)</f>
        <v>0</v>
      </c>
      <c r="J417">
        <f>YEAR(Data[[#This Row],[OrderDate]])</f>
        <v>2023</v>
      </c>
      <c r="K417" s="2">
        <f>MONTH(Data[[#This Row],[OrderDate]])</f>
        <v>10</v>
      </c>
      <c r="M417" s="12">
        <v>1356</v>
      </c>
      <c r="N417" s="21">
        <f>MAX(Data[OrderDate])-_xlfn.MAXIFS(Data[OrderDate],Data[CustomerID],M417)</f>
        <v>45</v>
      </c>
      <c r="O417" s="22">
        <f>COUNTIFS(Data[CustomerID], M417)</f>
        <v>1</v>
      </c>
      <c r="P417" s="23">
        <f>SUMIFS(Data[Amount], Data[CustomerID], M417)</f>
        <v>257.5</v>
      </c>
    </row>
    <row r="418" spans="1:16" x14ac:dyDescent="0.25">
      <c r="A418">
        <v>1507</v>
      </c>
      <c r="B418">
        <v>905</v>
      </c>
      <c r="C418" s="1">
        <v>45204</v>
      </c>
      <c r="D418">
        <v>130.72</v>
      </c>
      <c r="E418" t="s">
        <v>9</v>
      </c>
      <c r="F418" t="s">
        <v>7</v>
      </c>
      <c r="G418">
        <f>COUNTIF(Data[CustomerID], Data[[#This Row],[CustomerID]])</f>
        <v>1</v>
      </c>
      <c r="H418" s="1" t="str">
        <f>TEXT(Data[OrderDate],"yyyy-mmm")</f>
        <v>2023-Oct</v>
      </c>
      <c r="I418">
        <f>IF(
   COUNTIFS(
      Data[CustomerID], Data[[#This Row],[CustomerID]],
      Data[OrderDate], "&lt;" &amp; EOMONTH(Data[[#This Row],[OrderDate]], -1) + 1
   ) &gt; 0,
   1,
   0
)</f>
        <v>0</v>
      </c>
      <c r="J418">
        <f>YEAR(Data[[#This Row],[OrderDate]])</f>
        <v>2023</v>
      </c>
      <c r="K418" s="2">
        <f>MONTH(Data[[#This Row],[OrderDate]])</f>
        <v>10</v>
      </c>
      <c r="M418" s="12">
        <v>1320</v>
      </c>
      <c r="N418" s="21">
        <f>MAX(Data[OrderDate])-_xlfn.MAXIFS(Data[OrderDate],Data[CustomerID],M418)</f>
        <v>420</v>
      </c>
      <c r="O418" s="22">
        <f>COUNTIFS(Data[CustomerID], M418)</f>
        <v>1</v>
      </c>
      <c r="P418" s="23">
        <f>SUMIFS(Data[Amount], Data[CustomerID], M418)</f>
        <v>256.75</v>
      </c>
    </row>
    <row r="419" spans="1:16" x14ac:dyDescent="0.25">
      <c r="A419">
        <v>1320</v>
      </c>
      <c r="B419">
        <v>540</v>
      </c>
      <c r="C419" s="1">
        <v>45206</v>
      </c>
      <c r="D419">
        <v>256.75</v>
      </c>
      <c r="E419" t="s">
        <v>17</v>
      </c>
      <c r="F419" t="s">
        <v>14</v>
      </c>
      <c r="G419">
        <f>COUNTIF(Data[CustomerID], Data[[#This Row],[CustomerID]])</f>
        <v>1</v>
      </c>
      <c r="H419" s="1" t="str">
        <f>TEXT(Data[OrderDate],"yyyy-mmm")</f>
        <v>2023-Oct</v>
      </c>
      <c r="I419">
        <f>IF(
   COUNTIFS(
      Data[CustomerID], Data[[#This Row],[CustomerID]],
      Data[OrderDate], "&lt;" &amp; EOMONTH(Data[[#This Row],[OrderDate]], -1) + 1
   ) &gt; 0,
   1,
   0
)</f>
        <v>0</v>
      </c>
      <c r="J419">
        <f>YEAR(Data[[#This Row],[OrderDate]])</f>
        <v>2023</v>
      </c>
      <c r="K419" s="2">
        <f>MONTH(Data[[#This Row],[OrderDate]])</f>
        <v>10</v>
      </c>
      <c r="M419" s="12">
        <v>1672</v>
      </c>
      <c r="N419" s="21">
        <f>MAX(Data[OrderDate])-_xlfn.MAXIFS(Data[OrderDate],Data[CustomerID],M419)</f>
        <v>573</v>
      </c>
      <c r="O419" s="22">
        <f>COUNTIFS(Data[CustomerID], M419)</f>
        <v>1</v>
      </c>
      <c r="P419" s="23">
        <f>SUMIFS(Data[Amount], Data[CustomerID], M419)</f>
        <v>255.89</v>
      </c>
    </row>
    <row r="420" spans="1:16" x14ac:dyDescent="0.25">
      <c r="A420">
        <v>1401</v>
      </c>
      <c r="B420">
        <v>99</v>
      </c>
      <c r="C420" s="1">
        <v>45207</v>
      </c>
      <c r="D420">
        <v>145.51</v>
      </c>
      <c r="E420" t="s">
        <v>20</v>
      </c>
      <c r="F420" t="s">
        <v>10</v>
      </c>
      <c r="G420">
        <f>COUNTIF(Data[CustomerID], Data[[#This Row],[CustomerID]])</f>
        <v>2</v>
      </c>
      <c r="H420" s="1" t="str">
        <f>TEXT(Data[OrderDate],"yyyy-mmm")</f>
        <v>2023-Oct</v>
      </c>
      <c r="I420">
        <f>IF(
   COUNTIFS(
      Data[CustomerID], Data[[#This Row],[CustomerID]],
      Data[OrderDate], "&lt;" &amp; EOMONTH(Data[[#This Row],[OrderDate]], -1) + 1
   ) &gt; 0,
   1,
   0
)</f>
        <v>0</v>
      </c>
      <c r="J420">
        <f>YEAR(Data[[#This Row],[OrderDate]])</f>
        <v>2023</v>
      </c>
      <c r="K420" s="2">
        <f>MONTH(Data[[#This Row],[OrderDate]])</f>
        <v>10</v>
      </c>
      <c r="M420" s="12">
        <v>1374</v>
      </c>
      <c r="N420" s="21">
        <f>MAX(Data[OrderDate])-_xlfn.MAXIFS(Data[OrderDate],Data[CustomerID],M420)</f>
        <v>637</v>
      </c>
      <c r="O420" s="22">
        <f>COUNTIFS(Data[CustomerID], M420)</f>
        <v>1</v>
      </c>
      <c r="P420" s="23">
        <f>SUMIFS(Data[Amount], Data[CustomerID], M420)</f>
        <v>255.52</v>
      </c>
    </row>
    <row r="421" spans="1:16" x14ac:dyDescent="0.25">
      <c r="A421">
        <v>1799</v>
      </c>
      <c r="B421">
        <v>552</v>
      </c>
      <c r="C421" s="1">
        <v>45207</v>
      </c>
      <c r="D421">
        <v>215.03</v>
      </c>
      <c r="E421" t="s">
        <v>11</v>
      </c>
      <c r="F421" t="s">
        <v>16</v>
      </c>
      <c r="G421">
        <f>COUNTIF(Data[CustomerID], Data[[#This Row],[CustomerID]])</f>
        <v>1</v>
      </c>
      <c r="H421" s="1" t="str">
        <f>TEXT(Data[OrderDate],"yyyy-mmm")</f>
        <v>2023-Oct</v>
      </c>
      <c r="I421">
        <f>IF(
   COUNTIFS(
      Data[CustomerID], Data[[#This Row],[CustomerID]],
      Data[OrderDate], "&lt;" &amp; EOMONTH(Data[[#This Row],[OrderDate]], -1) + 1
   ) &gt; 0,
   1,
   0
)</f>
        <v>0</v>
      </c>
      <c r="J421">
        <f>YEAR(Data[[#This Row],[OrderDate]])</f>
        <v>2023</v>
      </c>
      <c r="K421" s="2">
        <f>MONTH(Data[[#This Row],[OrderDate]])</f>
        <v>10</v>
      </c>
      <c r="M421" s="12">
        <v>1561</v>
      </c>
      <c r="N421" s="21">
        <f>MAX(Data[OrderDate])-_xlfn.MAXIFS(Data[OrderDate],Data[CustomerID],M421)</f>
        <v>495</v>
      </c>
      <c r="O421" s="22">
        <f>COUNTIFS(Data[CustomerID], M421)</f>
        <v>1</v>
      </c>
      <c r="P421" s="23">
        <f>SUMIFS(Data[Amount], Data[CustomerID], M421)</f>
        <v>254.9</v>
      </c>
    </row>
    <row r="422" spans="1:16" x14ac:dyDescent="0.25">
      <c r="A422">
        <v>1614</v>
      </c>
      <c r="B422">
        <v>9</v>
      </c>
      <c r="C422" s="1">
        <v>45208</v>
      </c>
      <c r="D422">
        <v>330.21</v>
      </c>
      <c r="E422" t="s">
        <v>13</v>
      </c>
      <c r="F422" t="s">
        <v>12</v>
      </c>
      <c r="G422">
        <f>COUNTIF(Data[CustomerID], Data[[#This Row],[CustomerID]])</f>
        <v>1</v>
      </c>
      <c r="H422" s="1" t="str">
        <f>TEXT(Data[OrderDate],"yyyy-mmm")</f>
        <v>2023-Oct</v>
      </c>
      <c r="I422">
        <f>IF(
   COUNTIFS(
      Data[CustomerID], Data[[#This Row],[CustomerID]],
      Data[OrderDate], "&lt;" &amp; EOMONTH(Data[[#This Row],[OrderDate]], -1) + 1
   ) &gt; 0,
   1,
   0
)</f>
        <v>0</v>
      </c>
      <c r="J422">
        <f>YEAR(Data[[#This Row],[OrderDate]])</f>
        <v>2023</v>
      </c>
      <c r="K422" s="2">
        <f>MONTH(Data[[#This Row],[OrderDate]])</f>
        <v>10</v>
      </c>
      <c r="M422" s="12">
        <v>1689</v>
      </c>
      <c r="N422" s="21">
        <f>MAX(Data[OrderDate])-_xlfn.MAXIFS(Data[OrderDate],Data[CustomerID],M422)</f>
        <v>602</v>
      </c>
      <c r="O422" s="22">
        <f>COUNTIFS(Data[CustomerID], M422)</f>
        <v>1</v>
      </c>
      <c r="P422" s="23">
        <f>SUMIFS(Data[Amount], Data[CustomerID], M422)</f>
        <v>250.6</v>
      </c>
    </row>
    <row r="423" spans="1:16" x14ac:dyDescent="0.25">
      <c r="A423">
        <v>1742</v>
      </c>
      <c r="B423">
        <v>197</v>
      </c>
      <c r="C423" s="1">
        <v>45208</v>
      </c>
      <c r="D423">
        <v>302.3</v>
      </c>
      <c r="E423" t="s">
        <v>8</v>
      </c>
      <c r="F423" t="s">
        <v>18</v>
      </c>
      <c r="G423">
        <f>COUNTIF(Data[CustomerID], Data[[#This Row],[CustomerID]])</f>
        <v>1</v>
      </c>
      <c r="H423" s="1" t="str">
        <f>TEXT(Data[OrderDate],"yyyy-mmm")</f>
        <v>2023-Oct</v>
      </c>
      <c r="I423">
        <f>IF(
   COUNTIFS(
      Data[CustomerID], Data[[#This Row],[CustomerID]],
      Data[OrderDate], "&lt;" &amp; EOMONTH(Data[[#This Row],[OrderDate]], -1) + 1
   ) &gt; 0,
   1,
   0
)</f>
        <v>0</v>
      </c>
      <c r="J423">
        <f>YEAR(Data[[#This Row],[OrderDate]])</f>
        <v>2023</v>
      </c>
      <c r="K423" s="2">
        <f>MONTH(Data[[#This Row],[OrderDate]])</f>
        <v>10</v>
      </c>
      <c r="M423" s="12">
        <v>1241</v>
      </c>
      <c r="N423" s="21">
        <f>MAX(Data[OrderDate])-_xlfn.MAXIFS(Data[OrderDate],Data[CustomerID],M423)</f>
        <v>314</v>
      </c>
      <c r="O423" s="22">
        <f>COUNTIFS(Data[CustomerID], M423)</f>
        <v>2</v>
      </c>
      <c r="P423" s="23">
        <f>SUMIFS(Data[Amount], Data[CustomerID], M423)</f>
        <v>250.22</v>
      </c>
    </row>
    <row r="424" spans="1:16" x14ac:dyDescent="0.25">
      <c r="A424">
        <v>1345</v>
      </c>
      <c r="B424">
        <v>364</v>
      </c>
      <c r="C424" s="1">
        <v>45209</v>
      </c>
      <c r="D424">
        <v>319.31</v>
      </c>
      <c r="E424" t="s">
        <v>6</v>
      </c>
      <c r="F424" t="s">
        <v>7</v>
      </c>
      <c r="G424">
        <f>COUNTIF(Data[CustomerID], Data[[#This Row],[CustomerID]])</f>
        <v>4</v>
      </c>
      <c r="H424" s="1" t="str">
        <f>TEXT(Data[OrderDate],"yyyy-mmm")</f>
        <v>2023-Oct</v>
      </c>
      <c r="I424">
        <f>IF(
   COUNTIFS(
      Data[CustomerID], Data[[#This Row],[CustomerID]],
      Data[OrderDate], "&lt;" &amp; EOMONTH(Data[[#This Row],[OrderDate]], -1) + 1
   ) &gt; 0,
   1,
   0
)</f>
        <v>0</v>
      </c>
      <c r="J424">
        <f>YEAR(Data[[#This Row],[OrderDate]])</f>
        <v>2023</v>
      </c>
      <c r="K424" s="2">
        <f>MONTH(Data[[#This Row],[OrderDate]])</f>
        <v>10</v>
      </c>
      <c r="M424" s="12">
        <v>1652</v>
      </c>
      <c r="N424" s="21">
        <f>MAX(Data[OrderDate])-_xlfn.MAXIFS(Data[OrderDate],Data[CustomerID],M424)</f>
        <v>553</v>
      </c>
      <c r="O424" s="22">
        <f>COUNTIFS(Data[CustomerID], M424)</f>
        <v>2</v>
      </c>
      <c r="P424" s="23">
        <f>SUMIFS(Data[Amount], Data[CustomerID], M424)</f>
        <v>247.65</v>
      </c>
    </row>
    <row r="425" spans="1:16" x14ac:dyDescent="0.25">
      <c r="A425">
        <v>1469</v>
      </c>
      <c r="B425">
        <v>435</v>
      </c>
      <c r="C425" s="1">
        <v>45211</v>
      </c>
      <c r="D425">
        <v>241.73</v>
      </c>
      <c r="E425" t="s">
        <v>11</v>
      </c>
      <c r="F425" t="s">
        <v>14</v>
      </c>
      <c r="G425">
        <f>COUNTIF(Data[CustomerID], Data[[#This Row],[CustomerID]])</f>
        <v>1</v>
      </c>
      <c r="H425" s="1" t="str">
        <f>TEXT(Data[OrderDate],"yyyy-mmm")</f>
        <v>2023-Oct</v>
      </c>
      <c r="I425">
        <f>IF(
   COUNTIFS(
      Data[CustomerID], Data[[#This Row],[CustomerID]],
      Data[OrderDate], "&lt;" &amp; EOMONTH(Data[[#This Row],[OrderDate]], -1) + 1
   ) &gt; 0,
   1,
   0
)</f>
        <v>0</v>
      </c>
      <c r="J425">
        <f>YEAR(Data[[#This Row],[OrderDate]])</f>
        <v>2023</v>
      </c>
      <c r="K425" s="2">
        <f>MONTH(Data[[#This Row],[OrderDate]])</f>
        <v>10</v>
      </c>
      <c r="M425" s="12">
        <v>1790</v>
      </c>
      <c r="N425" s="21">
        <f>MAX(Data[OrderDate])-_xlfn.MAXIFS(Data[OrderDate],Data[CustomerID],M425)</f>
        <v>294</v>
      </c>
      <c r="O425" s="22">
        <f>COUNTIFS(Data[CustomerID], M425)</f>
        <v>1</v>
      </c>
      <c r="P425" s="23">
        <f>SUMIFS(Data[Amount], Data[CustomerID], M425)</f>
        <v>246.76</v>
      </c>
    </row>
    <row r="426" spans="1:16" x14ac:dyDescent="0.25">
      <c r="A426">
        <v>1658</v>
      </c>
      <c r="B426">
        <v>459</v>
      </c>
      <c r="C426" s="1">
        <v>45211</v>
      </c>
      <c r="D426">
        <v>89.48</v>
      </c>
      <c r="E426" t="s">
        <v>6</v>
      </c>
      <c r="F426" t="s">
        <v>16</v>
      </c>
      <c r="G426">
        <f>COUNTIF(Data[CustomerID], Data[[#This Row],[CustomerID]])</f>
        <v>5</v>
      </c>
      <c r="H426" s="1" t="str">
        <f>TEXT(Data[OrderDate],"yyyy-mmm")</f>
        <v>2023-Oct</v>
      </c>
      <c r="I426">
        <f>IF(
   COUNTIFS(
      Data[CustomerID], Data[[#This Row],[CustomerID]],
      Data[OrderDate], "&lt;" &amp; EOMONTH(Data[[#This Row],[OrderDate]], -1) + 1
   ) &gt; 0,
   1,
   0
)</f>
        <v>1</v>
      </c>
      <c r="J426">
        <f>YEAR(Data[[#This Row],[OrderDate]])</f>
        <v>2023</v>
      </c>
      <c r="K426" s="2">
        <f>MONTH(Data[[#This Row],[OrderDate]])</f>
        <v>10</v>
      </c>
      <c r="M426" s="12">
        <v>1959</v>
      </c>
      <c r="N426" s="21">
        <f>MAX(Data[OrderDate])-_xlfn.MAXIFS(Data[OrderDate],Data[CustomerID],M426)</f>
        <v>485</v>
      </c>
      <c r="O426" s="22">
        <f>COUNTIFS(Data[CustomerID], M426)</f>
        <v>1</v>
      </c>
      <c r="P426" s="23">
        <f>SUMIFS(Data[Amount], Data[CustomerID], M426)</f>
        <v>244.88</v>
      </c>
    </row>
    <row r="427" spans="1:16" x14ac:dyDescent="0.25">
      <c r="A427">
        <v>1038</v>
      </c>
      <c r="B427">
        <v>523</v>
      </c>
      <c r="C427" s="1">
        <v>45211</v>
      </c>
      <c r="D427">
        <v>250.25</v>
      </c>
      <c r="E427" t="s">
        <v>11</v>
      </c>
      <c r="F427" t="s">
        <v>14</v>
      </c>
      <c r="G427">
        <f>COUNTIF(Data[CustomerID], Data[[#This Row],[CustomerID]])</f>
        <v>3</v>
      </c>
      <c r="H427" s="1" t="str">
        <f>TEXT(Data[OrderDate],"yyyy-mmm")</f>
        <v>2023-Oct</v>
      </c>
      <c r="I427">
        <f>IF(
   COUNTIFS(
      Data[CustomerID], Data[[#This Row],[CustomerID]],
      Data[OrderDate], "&lt;" &amp; EOMONTH(Data[[#This Row],[OrderDate]], -1) + 1
   ) &gt; 0,
   1,
   0
)</f>
        <v>1</v>
      </c>
      <c r="J427">
        <f>YEAR(Data[[#This Row],[OrderDate]])</f>
        <v>2023</v>
      </c>
      <c r="K427" s="2">
        <f>MONTH(Data[[#This Row],[OrderDate]])</f>
        <v>10</v>
      </c>
      <c r="M427" s="12">
        <v>1566</v>
      </c>
      <c r="N427" s="21">
        <f>MAX(Data[OrderDate])-_xlfn.MAXIFS(Data[OrderDate],Data[CustomerID],M427)</f>
        <v>299</v>
      </c>
      <c r="O427" s="22">
        <f>COUNTIFS(Data[CustomerID], M427)</f>
        <v>1</v>
      </c>
      <c r="P427" s="23">
        <f>SUMIFS(Data[Amount], Data[CustomerID], M427)</f>
        <v>243.05</v>
      </c>
    </row>
    <row r="428" spans="1:16" x14ac:dyDescent="0.25">
      <c r="A428">
        <v>1079</v>
      </c>
      <c r="B428">
        <v>921</v>
      </c>
      <c r="C428" s="1">
        <v>45211</v>
      </c>
      <c r="D428">
        <v>38.909999999999997</v>
      </c>
      <c r="E428" t="s">
        <v>20</v>
      </c>
      <c r="F428" t="s">
        <v>12</v>
      </c>
      <c r="G428">
        <f>COUNTIF(Data[CustomerID], Data[[#This Row],[CustomerID]])</f>
        <v>1</v>
      </c>
      <c r="H428" s="1" t="str">
        <f>TEXT(Data[OrderDate],"yyyy-mmm")</f>
        <v>2023-Oct</v>
      </c>
      <c r="I428">
        <f>IF(
   COUNTIFS(
      Data[CustomerID], Data[[#This Row],[CustomerID]],
      Data[OrderDate], "&lt;" &amp; EOMONTH(Data[[#This Row],[OrderDate]], -1) + 1
   ) &gt; 0,
   1,
   0
)</f>
        <v>0</v>
      </c>
      <c r="J428">
        <f>YEAR(Data[[#This Row],[OrderDate]])</f>
        <v>2023</v>
      </c>
      <c r="K428" s="2">
        <f>MONTH(Data[[#This Row],[OrderDate]])</f>
        <v>10</v>
      </c>
      <c r="M428" s="12">
        <v>1646</v>
      </c>
      <c r="N428" s="21">
        <f>MAX(Data[OrderDate])-_xlfn.MAXIFS(Data[OrderDate],Data[CustomerID],M428)</f>
        <v>265</v>
      </c>
      <c r="O428" s="22">
        <f>COUNTIFS(Data[CustomerID], M428)</f>
        <v>1</v>
      </c>
      <c r="P428" s="23">
        <f>SUMIFS(Data[Amount], Data[CustomerID], M428)</f>
        <v>242.24</v>
      </c>
    </row>
    <row r="429" spans="1:16" x14ac:dyDescent="0.25">
      <c r="A429">
        <v>1525</v>
      </c>
      <c r="B429">
        <v>936</v>
      </c>
      <c r="C429" s="1">
        <v>45211</v>
      </c>
      <c r="D429">
        <v>117.23</v>
      </c>
      <c r="E429" t="s">
        <v>9</v>
      </c>
      <c r="F429" t="s">
        <v>14</v>
      </c>
      <c r="G429">
        <f>COUNTIF(Data[CustomerID], Data[[#This Row],[CustomerID]])</f>
        <v>1</v>
      </c>
      <c r="H429" s="1" t="str">
        <f>TEXT(Data[OrderDate],"yyyy-mmm")</f>
        <v>2023-Oct</v>
      </c>
      <c r="I429">
        <f>IF(
   COUNTIFS(
      Data[CustomerID], Data[[#This Row],[CustomerID]],
      Data[OrderDate], "&lt;" &amp; EOMONTH(Data[[#This Row],[OrderDate]], -1) + 1
   ) &gt; 0,
   1,
   0
)</f>
        <v>0</v>
      </c>
      <c r="J429">
        <f>YEAR(Data[[#This Row],[OrderDate]])</f>
        <v>2023</v>
      </c>
      <c r="K429" s="2">
        <f>MONTH(Data[[#This Row],[OrderDate]])</f>
        <v>10</v>
      </c>
      <c r="M429" s="12">
        <v>1826</v>
      </c>
      <c r="N429" s="21">
        <f>MAX(Data[OrderDate])-_xlfn.MAXIFS(Data[OrderDate],Data[CustomerID],M429)</f>
        <v>528</v>
      </c>
      <c r="O429" s="22">
        <f>COUNTIFS(Data[CustomerID], M429)</f>
        <v>1</v>
      </c>
      <c r="P429" s="23">
        <f>SUMIFS(Data[Amount], Data[CustomerID], M429)</f>
        <v>242.2</v>
      </c>
    </row>
    <row r="430" spans="1:16" x14ac:dyDescent="0.25">
      <c r="A430">
        <v>1048</v>
      </c>
      <c r="B430">
        <v>463</v>
      </c>
      <c r="C430" s="1">
        <v>45212</v>
      </c>
      <c r="D430">
        <v>92.99</v>
      </c>
      <c r="E430" t="s">
        <v>20</v>
      </c>
      <c r="F430" t="s">
        <v>7</v>
      </c>
      <c r="G430">
        <f>COUNTIF(Data[CustomerID], Data[[#This Row],[CustomerID]])</f>
        <v>1</v>
      </c>
      <c r="H430" s="1" t="str">
        <f>TEXT(Data[OrderDate],"yyyy-mmm")</f>
        <v>2023-Oct</v>
      </c>
      <c r="I430">
        <f>IF(
   COUNTIFS(
      Data[CustomerID], Data[[#This Row],[CustomerID]],
      Data[OrderDate], "&lt;" &amp; EOMONTH(Data[[#This Row],[OrderDate]], -1) + 1
   ) &gt; 0,
   1,
   0
)</f>
        <v>0</v>
      </c>
      <c r="J430">
        <f>YEAR(Data[[#This Row],[OrderDate]])</f>
        <v>2023</v>
      </c>
      <c r="K430" s="2">
        <f>MONTH(Data[[#This Row],[OrderDate]])</f>
        <v>10</v>
      </c>
      <c r="M430" s="12">
        <v>1469</v>
      </c>
      <c r="N430" s="21">
        <f>MAX(Data[OrderDate])-_xlfn.MAXIFS(Data[OrderDate],Data[CustomerID],M430)</f>
        <v>415</v>
      </c>
      <c r="O430" s="22">
        <f>COUNTIFS(Data[CustomerID], M430)</f>
        <v>1</v>
      </c>
      <c r="P430" s="23">
        <f>SUMIFS(Data[Amount], Data[CustomerID], M430)</f>
        <v>241.73</v>
      </c>
    </row>
    <row r="431" spans="1:16" x14ac:dyDescent="0.25">
      <c r="A431">
        <v>1102</v>
      </c>
      <c r="B431">
        <v>580</v>
      </c>
      <c r="C431" s="1">
        <v>45213</v>
      </c>
      <c r="D431">
        <v>191.12</v>
      </c>
      <c r="E431" t="s">
        <v>6</v>
      </c>
      <c r="F431" t="s">
        <v>10</v>
      </c>
      <c r="G431">
        <f>COUNTIF(Data[CustomerID], Data[[#This Row],[CustomerID]])</f>
        <v>2</v>
      </c>
      <c r="H431" s="1" t="str">
        <f>TEXT(Data[OrderDate],"yyyy-mmm")</f>
        <v>2023-Oct</v>
      </c>
      <c r="I431">
        <f>IF(
   COUNTIFS(
      Data[CustomerID], Data[[#This Row],[CustomerID]],
      Data[OrderDate], "&lt;" &amp; EOMONTH(Data[[#This Row],[OrderDate]], -1) + 1
   ) &gt; 0,
   1,
   0
)</f>
        <v>1</v>
      </c>
      <c r="J431">
        <f>YEAR(Data[[#This Row],[OrderDate]])</f>
        <v>2023</v>
      </c>
      <c r="K431" s="2">
        <f>MONTH(Data[[#This Row],[OrderDate]])</f>
        <v>10</v>
      </c>
      <c r="M431" s="12">
        <v>1749</v>
      </c>
      <c r="N431" s="21">
        <f>MAX(Data[OrderDate])-_xlfn.MAXIFS(Data[OrderDate],Data[CustomerID],M431)</f>
        <v>34</v>
      </c>
      <c r="O431" s="22">
        <f>COUNTIFS(Data[CustomerID], M431)</f>
        <v>2</v>
      </c>
      <c r="P431" s="23">
        <f>SUMIFS(Data[Amount], Data[CustomerID], M431)</f>
        <v>240.33999999999997</v>
      </c>
    </row>
    <row r="432" spans="1:16" x14ac:dyDescent="0.25">
      <c r="A432">
        <v>1287</v>
      </c>
      <c r="B432">
        <v>506</v>
      </c>
      <c r="C432" s="1">
        <v>45214</v>
      </c>
      <c r="D432">
        <v>327.60000000000002</v>
      </c>
      <c r="E432" t="s">
        <v>13</v>
      </c>
      <c r="F432" t="s">
        <v>12</v>
      </c>
      <c r="G432">
        <f>COUNTIF(Data[CustomerID], Data[[#This Row],[CustomerID]])</f>
        <v>1</v>
      </c>
      <c r="H432" s="1" t="str">
        <f>TEXT(Data[OrderDate],"yyyy-mmm")</f>
        <v>2023-Oct</v>
      </c>
      <c r="I432">
        <f>IF(
   COUNTIFS(
      Data[CustomerID], Data[[#This Row],[CustomerID]],
      Data[OrderDate], "&lt;" &amp; EOMONTH(Data[[#This Row],[OrderDate]], -1) + 1
   ) &gt; 0,
   1,
   0
)</f>
        <v>0</v>
      </c>
      <c r="J432">
        <f>YEAR(Data[[#This Row],[OrderDate]])</f>
        <v>2023</v>
      </c>
      <c r="K432" s="2">
        <f>MONTH(Data[[#This Row],[OrderDate]])</f>
        <v>10</v>
      </c>
      <c r="M432" s="12">
        <v>1322</v>
      </c>
      <c r="N432" s="21">
        <f>MAX(Data[OrderDate])-_xlfn.MAXIFS(Data[OrderDate],Data[CustomerID],M432)</f>
        <v>436</v>
      </c>
      <c r="O432" s="22">
        <f>COUNTIFS(Data[CustomerID], M432)</f>
        <v>2</v>
      </c>
      <c r="P432" s="23">
        <f>SUMIFS(Data[Amount], Data[CustomerID], M432)</f>
        <v>240.11</v>
      </c>
    </row>
    <row r="433" spans="1:16" x14ac:dyDescent="0.25">
      <c r="A433">
        <v>1836</v>
      </c>
      <c r="B433">
        <v>672</v>
      </c>
      <c r="C433" s="1">
        <v>45214</v>
      </c>
      <c r="D433">
        <v>31.14</v>
      </c>
      <c r="E433" t="s">
        <v>20</v>
      </c>
      <c r="F433" t="s">
        <v>12</v>
      </c>
      <c r="G433">
        <f>COUNTIF(Data[CustomerID], Data[[#This Row],[CustomerID]])</f>
        <v>2</v>
      </c>
      <c r="H433" s="1" t="str">
        <f>TEXT(Data[OrderDate],"yyyy-mmm")</f>
        <v>2023-Oct</v>
      </c>
      <c r="I433">
        <f>IF(
   COUNTIFS(
      Data[CustomerID], Data[[#This Row],[CustomerID]],
      Data[OrderDate], "&lt;" &amp; EOMONTH(Data[[#This Row],[OrderDate]], -1) + 1
   ) &gt; 0,
   1,
   0
)</f>
        <v>1</v>
      </c>
      <c r="J433">
        <f>YEAR(Data[[#This Row],[OrderDate]])</f>
        <v>2023</v>
      </c>
      <c r="K433" s="2">
        <f>MONTH(Data[[#This Row],[OrderDate]])</f>
        <v>10</v>
      </c>
      <c r="M433" s="12">
        <v>1837</v>
      </c>
      <c r="N433" s="21">
        <f>MAX(Data[OrderDate])-_xlfn.MAXIFS(Data[OrderDate],Data[CustomerID],M433)</f>
        <v>659</v>
      </c>
      <c r="O433" s="22">
        <f>COUNTIFS(Data[CustomerID], M433)</f>
        <v>1</v>
      </c>
      <c r="P433" s="23">
        <f>SUMIFS(Data[Amount], Data[CustomerID], M433)</f>
        <v>239.8</v>
      </c>
    </row>
    <row r="434" spans="1:16" x14ac:dyDescent="0.25">
      <c r="A434">
        <v>1733</v>
      </c>
      <c r="B434">
        <v>202</v>
      </c>
      <c r="C434" s="1">
        <v>45215</v>
      </c>
      <c r="D434">
        <v>177.54</v>
      </c>
      <c r="E434" t="s">
        <v>6</v>
      </c>
      <c r="F434" t="s">
        <v>7</v>
      </c>
      <c r="G434">
        <f>COUNTIF(Data[CustomerID], Data[[#This Row],[CustomerID]])</f>
        <v>2</v>
      </c>
      <c r="H434" s="1" t="str">
        <f>TEXT(Data[OrderDate],"yyyy-mmm")</f>
        <v>2023-Oct</v>
      </c>
      <c r="I434">
        <f>IF(
   COUNTIFS(
      Data[CustomerID], Data[[#This Row],[CustomerID]],
      Data[OrderDate], "&lt;" &amp; EOMONTH(Data[[#This Row],[OrderDate]], -1) + 1
   ) &gt; 0,
   1,
   0
)</f>
        <v>1</v>
      </c>
      <c r="J434">
        <f>YEAR(Data[[#This Row],[OrderDate]])</f>
        <v>2023</v>
      </c>
      <c r="K434" s="2">
        <f>MONTH(Data[[#This Row],[OrderDate]])</f>
        <v>10</v>
      </c>
      <c r="M434" s="12">
        <v>1616</v>
      </c>
      <c r="N434" s="21">
        <f>MAX(Data[OrderDate])-_xlfn.MAXIFS(Data[OrderDate],Data[CustomerID],M434)</f>
        <v>341</v>
      </c>
      <c r="O434" s="22">
        <f>COUNTIFS(Data[CustomerID], M434)</f>
        <v>1</v>
      </c>
      <c r="P434" s="23">
        <f>SUMIFS(Data[Amount], Data[CustomerID], M434)</f>
        <v>238.67</v>
      </c>
    </row>
    <row r="435" spans="1:16" x14ac:dyDescent="0.25">
      <c r="A435">
        <v>1659</v>
      </c>
      <c r="B435">
        <v>330</v>
      </c>
      <c r="C435" s="1">
        <v>45215</v>
      </c>
      <c r="D435">
        <v>12.83</v>
      </c>
      <c r="E435" t="s">
        <v>11</v>
      </c>
      <c r="F435" t="s">
        <v>12</v>
      </c>
      <c r="G435">
        <f>COUNTIF(Data[CustomerID], Data[[#This Row],[CustomerID]])</f>
        <v>2</v>
      </c>
      <c r="H435" s="1" t="str">
        <f>TEXT(Data[OrderDate],"yyyy-mmm")</f>
        <v>2023-Oct</v>
      </c>
      <c r="I435">
        <f>IF(
   COUNTIFS(
      Data[CustomerID], Data[[#This Row],[CustomerID]],
      Data[OrderDate], "&lt;" &amp; EOMONTH(Data[[#This Row],[OrderDate]], -1) + 1
   ) &gt; 0,
   1,
   0
)</f>
        <v>0</v>
      </c>
      <c r="J435">
        <f>YEAR(Data[[#This Row],[OrderDate]])</f>
        <v>2023</v>
      </c>
      <c r="K435" s="2">
        <f>MONTH(Data[[#This Row],[OrderDate]])</f>
        <v>10</v>
      </c>
      <c r="M435" s="12">
        <v>1014</v>
      </c>
      <c r="N435" s="21">
        <f>MAX(Data[OrderDate])-_xlfn.MAXIFS(Data[OrderDate],Data[CustomerID],M435)</f>
        <v>77</v>
      </c>
      <c r="O435" s="22">
        <f>COUNTIFS(Data[CustomerID], M435)</f>
        <v>2</v>
      </c>
      <c r="P435" s="23">
        <f>SUMIFS(Data[Amount], Data[CustomerID], M435)</f>
        <v>237.47</v>
      </c>
    </row>
    <row r="436" spans="1:16" x14ac:dyDescent="0.25">
      <c r="A436">
        <v>1147</v>
      </c>
      <c r="B436">
        <v>339</v>
      </c>
      <c r="C436" s="1">
        <v>45215</v>
      </c>
      <c r="D436">
        <v>299.89999999999998</v>
      </c>
      <c r="E436" t="s">
        <v>8</v>
      </c>
      <c r="F436" t="s">
        <v>14</v>
      </c>
      <c r="G436">
        <f>COUNTIF(Data[CustomerID], Data[[#This Row],[CustomerID]])</f>
        <v>1</v>
      </c>
      <c r="H436" s="1" t="str">
        <f>TEXT(Data[OrderDate],"yyyy-mmm")</f>
        <v>2023-Oct</v>
      </c>
      <c r="I436">
        <f>IF(
   COUNTIFS(
      Data[CustomerID], Data[[#This Row],[CustomerID]],
      Data[OrderDate], "&lt;" &amp; EOMONTH(Data[[#This Row],[OrderDate]], -1) + 1
   ) &gt; 0,
   1,
   0
)</f>
        <v>0</v>
      </c>
      <c r="J436">
        <f>YEAR(Data[[#This Row],[OrderDate]])</f>
        <v>2023</v>
      </c>
      <c r="K436" s="2">
        <f>MONTH(Data[[#This Row],[OrderDate]])</f>
        <v>10</v>
      </c>
      <c r="M436" s="12">
        <v>1161</v>
      </c>
      <c r="N436" s="21">
        <f>MAX(Data[OrderDate])-_xlfn.MAXIFS(Data[OrderDate],Data[CustomerID],M436)</f>
        <v>33</v>
      </c>
      <c r="O436" s="22">
        <f>COUNTIFS(Data[CustomerID], M436)</f>
        <v>1</v>
      </c>
      <c r="P436" s="23">
        <f>SUMIFS(Data[Amount], Data[CustomerID], M436)</f>
        <v>235.58</v>
      </c>
    </row>
    <row r="437" spans="1:16" x14ac:dyDescent="0.25">
      <c r="A437">
        <v>1907</v>
      </c>
      <c r="B437">
        <v>614</v>
      </c>
      <c r="C437" s="1">
        <v>45215</v>
      </c>
      <c r="D437">
        <v>209.64</v>
      </c>
      <c r="E437" t="s">
        <v>15</v>
      </c>
      <c r="F437" t="s">
        <v>7</v>
      </c>
      <c r="G437">
        <f>COUNTIF(Data[CustomerID], Data[[#This Row],[CustomerID]])</f>
        <v>2</v>
      </c>
      <c r="H437" s="1" t="str">
        <f>TEXT(Data[OrderDate],"yyyy-mmm")</f>
        <v>2023-Oct</v>
      </c>
      <c r="I437">
        <f>IF(
   COUNTIFS(
      Data[CustomerID], Data[[#This Row],[CustomerID]],
      Data[OrderDate], "&lt;" &amp; EOMONTH(Data[[#This Row],[OrderDate]], -1) + 1
   ) &gt; 0,
   1,
   0
)</f>
        <v>1</v>
      </c>
      <c r="J437">
        <f>YEAR(Data[[#This Row],[OrderDate]])</f>
        <v>2023</v>
      </c>
      <c r="K437" s="2">
        <f>MONTH(Data[[#This Row],[OrderDate]])</f>
        <v>10</v>
      </c>
      <c r="M437" s="12">
        <v>1007</v>
      </c>
      <c r="N437" s="21">
        <f>MAX(Data[OrderDate])-_xlfn.MAXIFS(Data[OrderDate],Data[CustomerID],M437)</f>
        <v>247</v>
      </c>
      <c r="O437" s="22">
        <f>COUNTIFS(Data[CustomerID], M437)</f>
        <v>1</v>
      </c>
      <c r="P437" s="23">
        <f>SUMIFS(Data[Amount], Data[CustomerID], M437)</f>
        <v>227.67</v>
      </c>
    </row>
    <row r="438" spans="1:16" x14ac:dyDescent="0.25">
      <c r="A438">
        <v>1229</v>
      </c>
      <c r="B438">
        <v>841</v>
      </c>
      <c r="C438" s="1">
        <v>45215</v>
      </c>
      <c r="D438">
        <v>262.49</v>
      </c>
      <c r="E438" t="s">
        <v>8</v>
      </c>
      <c r="F438" t="s">
        <v>12</v>
      </c>
      <c r="G438">
        <f>COUNTIF(Data[CustomerID], Data[[#This Row],[CustomerID]])</f>
        <v>2</v>
      </c>
      <c r="H438" s="1" t="str">
        <f>TEXT(Data[OrderDate],"yyyy-mmm")</f>
        <v>2023-Oct</v>
      </c>
      <c r="I438">
        <f>IF(
   COUNTIFS(
      Data[CustomerID], Data[[#This Row],[CustomerID]],
      Data[OrderDate], "&lt;" &amp; EOMONTH(Data[[#This Row],[OrderDate]], -1) + 1
   ) &gt; 0,
   1,
   0
)</f>
        <v>1</v>
      </c>
      <c r="J438">
        <f>YEAR(Data[[#This Row],[OrderDate]])</f>
        <v>2023</v>
      </c>
      <c r="K438" s="2">
        <f>MONTH(Data[[#This Row],[OrderDate]])</f>
        <v>10</v>
      </c>
      <c r="M438" s="12">
        <v>1520</v>
      </c>
      <c r="N438" s="21">
        <f>MAX(Data[OrderDate])-_xlfn.MAXIFS(Data[OrderDate],Data[CustomerID],M438)</f>
        <v>443</v>
      </c>
      <c r="O438" s="22">
        <f>COUNTIFS(Data[CustomerID], M438)</f>
        <v>1</v>
      </c>
      <c r="P438" s="23">
        <f>SUMIFS(Data[Amount], Data[CustomerID], M438)</f>
        <v>227.47</v>
      </c>
    </row>
    <row r="439" spans="1:16" x14ac:dyDescent="0.25">
      <c r="A439">
        <v>1996</v>
      </c>
      <c r="B439">
        <v>290</v>
      </c>
      <c r="C439" s="1">
        <v>45217</v>
      </c>
      <c r="D439">
        <v>6.28</v>
      </c>
      <c r="E439" t="s">
        <v>8</v>
      </c>
      <c r="F439" t="s">
        <v>10</v>
      </c>
      <c r="G439">
        <f>COUNTIF(Data[CustomerID], Data[[#This Row],[CustomerID]])</f>
        <v>2</v>
      </c>
      <c r="H439" s="1" t="str">
        <f>TEXT(Data[OrderDate],"yyyy-mmm")</f>
        <v>2023-Oct</v>
      </c>
      <c r="I439">
        <f>IF(
   COUNTIFS(
      Data[CustomerID], Data[[#This Row],[CustomerID]],
      Data[OrderDate], "&lt;" &amp; EOMONTH(Data[[#This Row],[OrderDate]], -1) + 1
   ) &gt; 0,
   1,
   0
)</f>
        <v>1</v>
      </c>
      <c r="J439">
        <f>YEAR(Data[[#This Row],[OrderDate]])</f>
        <v>2023</v>
      </c>
      <c r="K439" s="2">
        <f>MONTH(Data[[#This Row],[OrderDate]])</f>
        <v>10</v>
      </c>
      <c r="M439" s="12">
        <v>1064</v>
      </c>
      <c r="N439" s="21">
        <f>MAX(Data[OrderDate])-_xlfn.MAXIFS(Data[OrderDate],Data[CustomerID],M439)</f>
        <v>127</v>
      </c>
      <c r="O439" s="22">
        <f>COUNTIFS(Data[CustomerID], M439)</f>
        <v>1</v>
      </c>
      <c r="P439" s="23">
        <f>SUMIFS(Data[Amount], Data[CustomerID], M439)</f>
        <v>227.14</v>
      </c>
    </row>
    <row r="440" spans="1:16" x14ac:dyDescent="0.25">
      <c r="A440">
        <v>1143</v>
      </c>
      <c r="B440">
        <v>363</v>
      </c>
      <c r="C440" s="1">
        <v>45218</v>
      </c>
      <c r="D440">
        <v>481.02</v>
      </c>
      <c r="E440" t="s">
        <v>11</v>
      </c>
      <c r="F440" t="s">
        <v>10</v>
      </c>
      <c r="G440">
        <f>COUNTIF(Data[CustomerID], Data[[#This Row],[CustomerID]])</f>
        <v>4</v>
      </c>
      <c r="H440" s="1" t="str">
        <f>TEXT(Data[OrderDate],"yyyy-mmm")</f>
        <v>2023-Oct</v>
      </c>
      <c r="I440">
        <f>IF(
   COUNTIFS(
      Data[CustomerID], Data[[#This Row],[CustomerID]],
      Data[OrderDate], "&lt;" &amp; EOMONTH(Data[[#This Row],[OrderDate]], -1) + 1
   ) &gt; 0,
   1,
   0
)</f>
        <v>1</v>
      </c>
      <c r="J440">
        <f>YEAR(Data[[#This Row],[OrderDate]])</f>
        <v>2023</v>
      </c>
      <c r="K440" s="2">
        <f>MONTH(Data[[#This Row],[OrderDate]])</f>
        <v>10</v>
      </c>
      <c r="M440" s="12">
        <v>1518</v>
      </c>
      <c r="N440" s="21">
        <f>MAX(Data[OrderDate])-_xlfn.MAXIFS(Data[OrderDate],Data[CustomerID],M440)</f>
        <v>438</v>
      </c>
      <c r="O440" s="22">
        <f>COUNTIFS(Data[CustomerID], M440)</f>
        <v>1</v>
      </c>
      <c r="P440" s="23">
        <f>SUMIFS(Data[Amount], Data[CustomerID], M440)</f>
        <v>226.56</v>
      </c>
    </row>
    <row r="441" spans="1:16" x14ac:dyDescent="0.25">
      <c r="A441">
        <v>1635</v>
      </c>
      <c r="B441">
        <v>595</v>
      </c>
      <c r="C441" s="1">
        <v>45218</v>
      </c>
      <c r="D441">
        <v>319.86</v>
      </c>
      <c r="E441" t="s">
        <v>17</v>
      </c>
      <c r="F441" t="s">
        <v>12</v>
      </c>
      <c r="G441">
        <f>COUNTIF(Data[CustomerID], Data[[#This Row],[CustomerID]])</f>
        <v>1</v>
      </c>
      <c r="H441" s="1" t="str">
        <f>TEXT(Data[OrderDate],"yyyy-mmm")</f>
        <v>2023-Oct</v>
      </c>
      <c r="I441">
        <f>IF(
   COUNTIFS(
      Data[CustomerID], Data[[#This Row],[CustomerID]],
      Data[OrderDate], "&lt;" &amp; EOMONTH(Data[[#This Row],[OrderDate]], -1) + 1
   ) &gt; 0,
   1,
   0
)</f>
        <v>0</v>
      </c>
      <c r="J441">
        <f>YEAR(Data[[#This Row],[OrderDate]])</f>
        <v>2023</v>
      </c>
      <c r="K441" s="2">
        <f>MONTH(Data[[#This Row],[OrderDate]])</f>
        <v>10</v>
      </c>
      <c r="M441" s="12">
        <v>1418</v>
      </c>
      <c r="N441" s="21">
        <f>MAX(Data[OrderDate])-_xlfn.MAXIFS(Data[OrderDate],Data[CustomerID],M441)</f>
        <v>622</v>
      </c>
      <c r="O441" s="22">
        <f>COUNTIFS(Data[CustomerID], M441)</f>
        <v>1</v>
      </c>
      <c r="P441" s="23">
        <f>SUMIFS(Data[Amount], Data[CustomerID], M441)</f>
        <v>225.95</v>
      </c>
    </row>
    <row r="442" spans="1:16" x14ac:dyDescent="0.25">
      <c r="A442">
        <v>1276</v>
      </c>
      <c r="B442">
        <v>747</v>
      </c>
      <c r="C442" s="1">
        <v>45219</v>
      </c>
      <c r="D442">
        <v>137.72999999999999</v>
      </c>
      <c r="E442" t="s">
        <v>6</v>
      </c>
      <c r="F442" t="s">
        <v>7</v>
      </c>
      <c r="G442">
        <f>COUNTIF(Data[CustomerID], Data[[#This Row],[CustomerID]])</f>
        <v>4</v>
      </c>
      <c r="H442" s="1" t="str">
        <f>TEXT(Data[OrderDate],"yyyy-mmm")</f>
        <v>2023-Oct</v>
      </c>
      <c r="I442">
        <f>IF(
   COUNTIFS(
      Data[CustomerID], Data[[#This Row],[CustomerID]],
      Data[OrderDate], "&lt;" &amp; EOMONTH(Data[[#This Row],[OrderDate]], -1) + 1
   ) &gt; 0,
   1,
   0
)</f>
        <v>1</v>
      </c>
      <c r="J442">
        <f>YEAR(Data[[#This Row],[OrderDate]])</f>
        <v>2023</v>
      </c>
      <c r="K442" s="2">
        <f>MONTH(Data[[#This Row],[OrderDate]])</f>
        <v>10</v>
      </c>
      <c r="M442" s="12">
        <v>1297</v>
      </c>
      <c r="N442" s="21">
        <f>MAX(Data[OrderDate])-_xlfn.MAXIFS(Data[OrderDate],Data[CustomerID],M442)</f>
        <v>570</v>
      </c>
      <c r="O442" s="22">
        <f>COUNTIFS(Data[CustomerID], M442)</f>
        <v>1</v>
      </c>
      <c r="P442" s="23">
        <f>SUMIFS(Data[Amount], Data[CustomerID], M442)</f>
        <v>225.94</v>
      </c>
    </row>
    <row r="443" spans="1:16" x14ac:dyDescent="0.25">
      <c r="A443">
        <v>1246</v>
      </c>
      <c r="B443">
        <v>303</v>
      </c>
      <c r="C443" s="1">
        <v>45221</v>
      </c>
      <c r="D443">
        <v>367.32</v>
      </c>
      <c r="E443" t="s">
        <v>13</v>
      </c>
      <c r="F443" t="s">
        <v>18</v>
      </c>
      <c r="G443">
        <f>COUNTIF(Data[CustomerID], Data[[#This Row],[CustomerID]])</f>
        <v>2</v>
      </c>
      <c r="H443" s="1" t="str">
        <f>TEXT(Data[OrderDate],"yyyy-mmm")</f>
        <v>2023-Oct</v>
      </c>
      <c r="I443">
        <f>IF(
   COUNTIFS(
      Data[CustomerID], Data[[#This Row],[CustomerID]],
      Data[OrderDate], "&lt;" &amp; EOMONTH(Data[[#This Row],[OrderDate]], -1) + 1
   ) &gt; 0,
   1,
   0
)</f>
        <v>0</v>
      </c>
      <c r="J443">
        <f>YEAR(Data[[#This Row],[OrderDate]])</f>
        <v>2023</v>
      </c>
      <c r="K443" s="2">
        <f>MONTH(Data[[#This Row],[OrderDate]])</f>
        <v>10</v>
      </c>
      <c r="M443" s="12">
        <v>1463</v>
      </c>
      <c r="N443" s="21">
        <f>MAX(Data[OrderDate])-_xlfn.MAXIFS(Data[OrderDate],Data[CustomerID],M443)</f>
        <v>685</v>
      </c>
      <c r="O443" s="22">
        <f>COUNTIFS(Data[CustomerID], M443)</f>
        <v>1</v>
      </c>
      <c r="P443" s="23">
        <f>SUMIFS(Data[Amount], Data[CustomerID], M443)</f>
        <v>224.14</v>
      </c>
    </row>
    <row r="444" spans="1:16" x14ac:dyDescent="0.25">
      <c r="A444">
        <v>1713</v>
      </c>
      <c r="B444">
        <v>879</v>
      </c>
      <c r="C444" s="1">
        <v>45221</v>
      </c>
      <c r="D444">
        <v>151.76</v>
      </c>
      <c r="E444" t="s">
        <v>9</v>
      </c>
      <c r="F444" t="s">
        <v>19</v>
      </c>
      <c r="G444">
        <f>COUNTIF(Data[CustomerID], Data[[#This Row],[CustomerID]])</f>
        <v>1</v>
      </c>
      <c r="H444" s="1" t="str">
        <f>TEXT(Data[OrderDate],"yyyy-mmm")</f>
        <v>2023-Oct</v>
      </c>
      <c r="I444">
        <f>IF(
   COUNTIFS(
      Data[CustomerID], Data[[#This Row],[CustomerID]],
      Data[OrderDate], "&lt;" &amp; EOMONTH(Data[[#This Row],[OrderDate]], -1) + 1
   ) &gt; 0,
   1,
   0
)</f>
        <v>0</v>
      </c>
      <c r="J444">
        <f>YEAR(Data[[#This Row],[OrderDate]])</f>
        <v>2023</v>
      </c>
      <c r="K444" s="2">
        <f>MONTH(Data[[#This Row],[OrderDate]])</f>
        <v>10</v>
      </c>
      <c r="M444" s="12">
        <v>1234</v>
      </c>
      <c r="N444" s="21">
        <f>MAX(Data[OrderDate])-_xlfn.MAXIFS(Data[OrderDate],Data[CustomerID],M444)</f>
        <v>660</v>
      </c>
      <c r="O444" s="22">
        <f>COUNTIFS(Data[CustomerID], M444)</f>
        <v>1</v>
      </c>
      <c r="P444" s="23">
        <f>SUMIFS(Data[Amount], Data[CustomerID], M444)</f>
        <v>223.33</v>
      </c>
    </row>
    <row r="445" spans="1:16" x14ac:dyDescent="0.25">
      <c r="A445">
        <v>1112</v>
      </c>
      <c r="B445">
        <v>284</v>
      </c>
      <c r="C445" s="1">
        <v>45222</v>
      </c>
      <c r="D445">
        <v>215.14</v>
      </c>
      <c r="E445" t="s">
        <v>17</v>
      </c>
      <c r="F445" t="s">
        <v>14</v>
      </c>
      <c r="G445">
        <f>COUNTIF(Data[CustomerID], Data[[#This Row],[CustomerID]])</f>
        <v>3</v>
      </c>
      <c r="H445" s="1" t="str">
        <f>TEXT(Data[OrderDate],"yyyy-mmm")</f>
        <v>2023-Oct</v>
      </c>
      <c r="I445">
        <f>IF(
   COUNTIFS(
      Data[CustomerID], Data[[#This Row],[CustomerID]],
      Data[OrderDate], "&lt;" &amp; EOMONTH(Data[[#This Row],[OrderDate]], -1) + 1
   ) &gt; 0,
   1,
   0
)</f>
        <v>0</v>
      </c>
      <c r="J445">
        <f>YEAR(Data[[#This Row],[OrderDate]])</f>
        <v>2023</v>
      </c>
      <c r="K445" s="2">
        <f>MONTH(Data[[#This Row],[OrderDate]])</f>
        <v>10</v>
      </c>
      <c r="M445" s="12">
        <v>1242</v>
      </c>
      <c r="N445" s="21">
        <f>MAX(Data[OrderDate])-_xlfn.MAXIFS(Data[OrderDate],Data[CustomerID],M445)</f>
        <v>563</v>
      </c>
      <c r="O445" s="22">
        <f>COUNTIFS(Data[CustomerID], M445)</f>
        <v>1</v>
      </c>
      <c r="P445" s="23">
        <f>SUMIFS(Data[Amount], Data[CustomerID], M445)</f>
        <v>221.9</v>
      </c>
    </row>
    <row r="446" spans="1:16" x14ac:dyDescent="0.25">
      <c r="A446">
        <v>1415</v>
      </c>
      <c r="B446">
        <v>302</v>
      </c>
      <c r="C446" s="1">
        <v>45222</v>
      </c>
      <c r="D446">
        <v>154.52000000000001</v>
      </c>
      <c r="E446" t="s">
        <v>11</v>
      </c>
      <c r="F446" t="s">
        <v>12</v>
      </c>
      <c r="G446">
        <f>COUNTIF(Data[CustomerID], Data[[#This Row],[CustomerID]])</f>
        <v>1</v>
      </c>
      <c r="H446" s="1" t="str">
        <f>TEXT(Data[OrderDate],"yyyy-mmm")</f>
        <v>2023-Oct</v>
      </c>
      <c r="I446">
        <f>IF(
   COUNTIFS(
      Data[CustomerID], Data[[#This Row],[CustomerID]],
      Data[OrderDate], "&lt;" &amp; EOMONTH(Data[[#This Row],[OrderDate]], -1) + 1
   ) &gt; 0,
   1,
   0
)</f>
        <v>0</v>
      </c>
      <c r="J446">
        <f>YEAR(Data[[#This Row],[OrderDate]])</f>
        <v>2023</v>
      </c>
      <c r="K446" s="2">
        <f>MONTH(Data[[#This Row],[OrderDate]])</f>
        <v>10</v>
      </c>
      <c r="M446" s="12">
        <v>1117</v>
      </c>
      <c r="N446" s="21">
        <f>MAX(Data[OrderDate])-_xlfn.MAXIFS(Data[OrderDate],Data[CustomerID],M446)</f>
        <v>499</v>
      </c>
      <c r="O446" s="22">
        <f>COUNTIFS(Data[CustomerID], M446)</f>
        <v>1</v>
      </c>
      <c r="P446" s="23">
        <f>SUMIFS(Data[Amount], Data[CustomerID], M446)</f>
        <v>219.73</v>
      </c>
    </row>
    <row r="447" spans="1:16" x14ac:dyDescent="0.25">
      <c r="A447">
        <v>1421</v>
      </c>
      <c r="B447">
        <v>394</v>
      </c>
      <c r="C447" s="1">
        <v>45222</v>
      </c>
      <c r="D447">
        <v>176.43</v>
      </c>
      <c r="E447" t="s">
        <v>6</v>
      </c>
      <c r="F447" t="s">
        <v>10</v>
      </c>
      <c r="G447">
        <f>COUNTIF(Data[CustomerID], Data[[#This Row],[CustomerID]])</f>
        <v>2</v>
      </c>
      <c r="H447" s="1" t="str">
        <f>TEXT(Data[OrderDate],"yyyy-mmm")</f>
        <v>2023-Oct</v>
      </c>
      <c r="I447">
        <f>IF(
   COUNTIFS(
      Data[CustomerID], Data[[#This Row],[CustomerID]],
      Data[OrderDate], "&lt;" &amp; EOMONTH(Data[[#This Row],[OrderDate]], -1) + 1
   ) &gt; 0,
   1,
   0
)</f>
        <v>0</v>
      </c>
      <c r="J447">
        <f>YEAR(Data[[#This Row],[OrderDate]])</f>
        <v>2023</v>
      </c>
      <c r="K447" s="2">
        <f>MONTH(Data[[#This Row],[OrderDate]])</f>
        <v>10</v>
      </c>
      <c r="M447" s="12">
        <v>1032</v>
      </c>
      <c r="N447" s="21">
        <f>MAX(Data[OrderDate])-_xlfn.MAXIFS(Data[OrderDate],Data[CustomerID],M447)</f>
        <v>426</v>
      </c>
      <c r="O447" s="22">
        <f>COUNTIFS(Data[CustomerID], M447)</f>
        <v>2</v>
      </c>
      <c r="P447" s="23">
        <f>SUMIFS(Data[Amount], Data[CustomerID], M447)</f>
        <v>218.32</v>
      </c>
    </row>
    <row r="448" spans="1:16" x14ac:dyDescent="0.25">
      <c r="A448">
        <v>1656</v>
      </c>
      <c r="B448">
        <v>599</v>
      </c>
      <c r="C448" s="1">
        <v>45222</v>
      </c>
      <c r="D448">
        <v>281.12</v>
      </c>
      <c r="E448" t="s">
        <v>9</v>
      </c>
      <c r="F448" t="s">
        <v>7</v>
      </c>
      <c r="G448">
        <f>COUNTIF(Data[CustomerID], Data[[#This Row],[CustomerID]])</f>
        <v>2</v>
      </c>
      <c r="H448" s="1" t="str">
        <f>TEXT(Data[OrderDate],"yyyy-mmm")</f>
        <v>2023-Oct</v>
      </c>
      <c r="I448">
        <f>IF(
   COUNTIFS(
      Data[CustomerID], Data[[#This Row],[CustomerID]],
      Data[OrderDate], "&lt;" &amp; EOMONTH(Data[[#This Row],[OrderDate]], -1) + 1
   ) &gt; 0,
   1,
   0
)</f>
        <v>1</v>
      </c>
      <c r="J448">
        <f>YEAR(Data[[#This Row],[OrderDate]])</f>
        <v>2023</v>
      </c>
      <c r="K448" s="2">
        <f>MONTH(Data[[#This Row],[OrderDate]])</f>
        <v>10</v>
      </c>
      <c r="M448" s="12">
        <v>1676</v>
      </c>
      <c r="N448" s="21">
        <f>MAX(Data[OrderDate])-_xlfn.MAXIFS(Data[OrderDate],Data[CustomerID],M448)</f>
        <v>189</v>
      </c>
      <c r="O448" s="22">
        <f>COUNTIFS(Data[CustomerID], M448)</f>
        <v>1</v>
      </c>
      <c r="P448" s="23">
        <f>SUMIFS(Data[Amount], Data[CustomerID], M448)</f>
        <v>218.28</v>
      </c>
    </row>
    <row r="449" spans="1:16" x14ac:dyDescent="0.25">
      <c r="A449">
        <v>1884</v>
      </c>
      <c r="B449">
        <v>628</v>
      </c>
      <c r="C449" s="1">
        <v>45222</v>
      </c>
      <c r="D449">
        <v>441.32</v>
      </c>
      <c r="E449" t="s">
        <v>17</v>
      </c>
      <c r="F449" t="s">
        <v>7</v>
      </c>
      <c r="G449">
        <f>COUNTIF(Data[CustomerID], Data[[#This Row],[CustomerID]])</f>
        <v>2</v>
      </c>
      <c r="H449" s="1" t="str">
        <f>TEXT(Data[OrderDate],"yyyy-mmm")</f>
        <v>2023-Oct</v>
      </c>
      <c r="I449">
        <f>IF(
   COUNTIFS(
      Data[CustomerID], Data[[#This Row],[CustomerID]],
      Data[OrderDate], "&lt;" &amp; EOMONTH(Data[[#This Row],[OrderDate]], -1) + 1
   ) &gt; 0,
   1,
   0
)</f>
        <v>0</v>
      </c>
      <c r="J449">
        <f>YEAR(Data[[#This Row],[OrderDate]])</f>
        <v>2023</v>
      </c>
      <c r="K449" s="2">
        <f>MONTH(Data[[#This Row],[OrderDate]])</f>
        <v>10</v>
      </c>
      <c r="M449" s="12">
        <v>1454</v>
      </c>
      <c r="N449" s="21">
        <f>MAX(Data[OrderDate])-_xlfn.MAXIFS(Data[OrderDate],Data[CustomerID],M449)</f>
        <v>562</v>
      </c>
      <c r="O449" s="22">
        <f>COUNTIFS(Data[CustomerID], M449)</f>
        <v>2</v>
      </c>
      <c r="P449" s="23">
        <f>SUMIFS(Data[Amount], Data[CustomerID], M449)</f>
        <v>217.73</v>
      </c>
    </row>
    <row r="450" spans="1:16" x14ac:dyDescent="0.25">
      <c r="A450">
        <v>1103</v>
      </c>
      <c r="B450">
        <v>395</v>
      </c>
      <c r="C450" s="1">
        <v>45223</v>
      </c>
      <c r="D450">
        <v>123.33</v>
      </c>
      <c r="E450" t="s">
        <v>9</v>
      </c>
      <c r="F450" t="s">
        <v>10</v>
      </c>
      <c r="G450">
        <f>COUNTIF(Data[CustomerID], Data[[#This Row],[CustomerID]])</f>
        <v>2</v>
      </c>
      <c r="H450" s="1" t="str">
        <f>TEXT(Data[OrderDate],"yyyy-mmm")</f>
        <v>2023-Oct</v>
      </c>
      <c r="I450">
        <f>IF(
   COUNTIFS(
      Data[CustomerID], Data[[#This Row],[CustomerID]],
      Data[OrderDate], "&lt;" &amp; EOMONTH(Data[[#This Row],[OrderDate]], -1) + 1
   ) &gt; 0,
   1,
   0
)</f>
        <v>1</v>
      </c>
      <c r="J450">
        <f>YEAR(Data[[#This Row],[OrderDate]])</f>
        <v>2023</v>
      </c>
      <c r="K450" s="2">
        <f>MONTH(Data[[#This Row],[OrderDate]])</f>
        <v>10</v>
      </c>
      <c r="M450" s="12">
        <v>1914</v>
      </c>
      <c r="N450" s="21">
        <f>MAX(Data[OrderDate])-_xlfn.MAXIFS(Data[OrderDate],Data[CustomerID],M450)</f>
        <v>638</v>
      </c>
      <c r="O450" s="22">
        <f>COUNTIFS(Data[CustomerID], M450)</f>
        <v>1</v>
      </c>
      <c r="P450" s="23">
        <f>SUMIFS(Data[Amount], Data[CustomerID], M450)</f>
        <v>217.17</v>
      </c>
    </row>
    <row r="451" spans="1:16" x14ac:dyDescent="0.25">
      <c r="A451">
        <v>1224</v>
      </c>
      <c r="B451">
        <v>238</v>
      </c>
      <c r="C451" s="1">
        <v>45226</v>
      </c>
      <c r="D451">
        <v>273.47000000000003</v>
      </c>
      <c r="E451" t="s">
        <v>6</v>
      </c>
      <c r="F451" t="s">
        <v>10</v>
      </c>
      <c r="G451">
        <f>COUNTIF(Data[CustomerID], Data[[#This Row],[CustomerID]])</f>
        <v>3</v>
      </c>
      <c r="H451" s="1" t="str">
        <f>TEXT(Data[OrderDate],"yyyy-mmm")</f>
        <v>2023-Oct</v>
      </c>
      <c r="I451">
        <f>IF(
   COUNTIFS(
      Data[CustomerID], Data[[#This Row],[CustomerID]],
      Data[OrderDate], "&lt;" &amp; EOMONTH(Data[[#This Row],[OrderDate]], -1) + 1
   ) &gt; 0,
   1,
   0
)</f>
        <v>1</v>
      </c>
      <c r="J451">
        <f>YEAR(Data[[#This Row],[OrderDate]])</f>
        <v>2023</v>
      </c>
      <c r="K451" s="2">
        <f>MONTH(Data[[#This Row],[OrderDate]])</f>
        <v>10</v>
      </c>
      <c r="M451" s="12">
        <v>1799</v>
      </c>
      <c r="N451" s="21">
        <f>MAX(Data[OrderDate])-_xlfn.MAXIFS(Data[OrderDate],Data[CustomerID],M451)</f>
        <v>419</v>
      </c>
      <c r="O451" s="22">
        <f>COUNTIFS(Data[CustomerID], M451)</f>
        <v>1</v>
      </c>
      <c r="P451" s="23">
        <f>SUMIFS(Data[Amount], Data[CustomerID], M451)</f>
        <v>215.03</v>
      </c>
    </row>
    <row r="452" spans="1:16" x14ac:dyDescent="0.25">
      <c r="A452">
        <v>1842</v>
      </c>
      <c r="B452">
        <v>831</v>
      </c>
      <c r="C452" s="1">
        <v>45227</v>
      </c>
      <c r="D452">
        <v>101.83</v>
      </c>
      <c r="E452" t="s">
        <v>11</v>
      </c>
      <c r="F452" t="s">
        <v>10</v>
      </c>
      <c r="G452">
        <f>COUNTIF(Data[CustomerID], Data[[#This Row],[CustomerID]])</f>
        <v>1</v>
      </c>
      <c r="H452" s="1" t="str">
        <f>TEXT(Data[OrderDate],"yyyy-mmm")</f>
        <v>2023-Oct</v>
      </c>
      <c r="I452">
        <f>IF(
   COUNTIFS(
      Data[CustomerID], Data[[#This Row],[CustomerID]],
      Data[OrderDate], "&lt;" &amp; EOMONTH(Data[[#This Row],[OrderDate]], -1) + 1
   ) &gt; 0,
   1,
   0
)</f>
        <v>0</v>
      </c>
      <c r="J452">
        <f>YEAR(Data[[#This Row],[OrderDate]])</f>
        <v>2023</v>
      </c>
      <c r="K452" s="2">
        <f>MONTH(Data[[#This Row],[OrderDate]])</f>
        <v>10</v>
      </c>
      <c r="M452" s="12">
        <v>1222</v>
      </c>
      <c r="N452" s="21">
        <f>MAX(Data[OrderDate])-_xlfn.MAXIFS(Data[OrderDate],Data[CustomerID],M452)</f>
        <v>246</v>
      </c>
      <c r="O452" s="22">
        <f>COUNTIFS(Data[CustomerID], M452)</f>
        <v>2</v>
      </c>
      <c r="P452" s="23">
        <f>SUMIFS(Data[Amount], Data[CustomerID], M452)</f>
        <v>214.76</v>
      </c>
    </row>
    <row r="453" spans="1:16" x14ac:dyDescent="0.25">
      <c r="A453">
        <v>1452</v>
      </c>
      <c r="B453">
        <v>373</v>
      </c>
      <c r="C453" s="1">
        <v>45228</v>
      </c>
      <c r="D453">
        <v>240.07</v>
      </c>
      <c r="E453" t="s">
        <v>8</v>
      </c>
      <c r="F453" t="s">
        <v>7</v>
      </c>
      <c r="G453">
        <f>COUNTIF(Data[CustomerID], Data[[#This Row],[CustomerID]])</f>
        <v>3</v>
      </c>
      <c r="H453" s="1" t="str">
        <f>TEXT(Data[OrderDate],"yyyy-mmm")</f>
        <v>2023-Oct</v>
      </c>
      <c r="I453">
        <f>IF(
   COUNTIFS(
      Data[CustomerID], Data[[#This Row],[CustomerID]],
      Data[OrderDate], "&lt;" &amp; EOMONTH(Data[[#This Row],[OrderDate]], -1) + 1
   ) &gt; 0,
   1,
   0
)</f>
        <v>0</v>
      </c>
      <c r="J453">
        <f>YEAR(Data[[#This Row],[OrderDate]])</f>
        <v>2023</v>
      </c>
      <c r="K453" s="2">
        <f>MONTH(Data[[#This Row],[OrderDate]])</f>
        <v>10</v>
      </c>
      <c r="M453" s="12">
        <v>1894</v>
      </c>
      <c r="N453" s="21">
        <f>MAX(Data[OrderDate])-_xlfn.MAXIFS(Data[OrderDate],Data[CustomerID],M453)</f>
        <v>286</v>
      </c>
      <c r="O453" s="22">
        <f>COUNTIFS(Data[CustomerID], M453)</f>
        <v>1</v>
      </c>
      <c r="P453" s="23">
        <f>SUMIFS(Data[Amount], Data[CustomerID], M453)</f>
        <v>212.96</v>
      </c>
    </row>
    <row r="454" spans="1:16" x14ac:dyDescent="0.25">
      <c r="A454">
        <v>1977</v>
      </c>
      <c r="B454">
        <v>759</v>
      </c>
      <c r="C454" s="1">
        <v>45228</v>
      </c>
      <c r="D454">
        <v>276.42</v>
      </c>
      <c r="E454" t="s">
        <v>17</v>
      </c>
      <c r="F454" t="s">
        <v>18</v>
      </c>
      <c r="G454">
        <f>COUNTIF(Data[CustomerID], Data[[#This Row],[CustomerID]])</f>
        <v>1</v>
      </c>
      <c r="H454" s="1" t="str">
        <f>TEXT(Data[OrderDate],"yyyy-mmm")</f>
        <v>2023-Oct</v>
      </c>
      <c r="I454">
        <f>IF(
   COUNTIFS(
      Data[CustomerID], Data[[#This Row],[CustomerID]],
      Data[OrderDate], "&lt;" &amp; EOMONTH(Data[[#This Row],[OrderDate]], -1) + 1
   ) &gt; 0,
   1,
   0
)</f>
        <v>0</v>
      </c>
      <c r="J454">
        <f>YEAR(Data[[#This Row],[OrderDate]])</f>
        <v>2023</v>
      </c>
      <c r="K454" s="2">
        <f>MONTH(Data[[#This Row],[OrderDate]])</f>
        <v>10</v>
      </c>
      <c r="M454" s="12">
        <v>1061</v>
      </c>
      <c r="N454" s="21">
        <f>MAX(Data[OrderDate])-_xlfn.MAXIFS(Data[OrderDate],Data[CustomerID],M454)</f>
        <v>194</v>
      </c>
      <c r="O454" s="22">
        <f>COUNTIFS(Data[CustomerID], M454)</f>
        <v>1</v>
      </c>
      <c r="P454" s="23">
        <f>SUMIFS(Data[Amount], Data[CustomerID], M454)</f>
        <v>211.91</v>
      </c>
    </row>
    <row r="455" spans="1:16" x14ac:dyDescent="0.25">
      <c r="A455">
        <v>1831</v>
      </c>
      <c r="B455">
        <v>56</v>
      </c>
      <c r="C455" s="1">
        <v>45229</v>
      </c>
      <c r="D455">
        <v>86.18</v>
      </c>
      <c r="E455" t="s">
        <v>15</v>
      </c>
      <c r="F455" t="s">
        <v>12</v>
      </c>
      <c r="G455">
        <f>COUNTIF(Data[CustomerID], Data[[#This Row],[CustomerID]])</f>
        <v>1</v>
      </c>
      <c r="H455" s="1" t="str">
        <f>TEXT(Data[OrderDate],"yyyy-mmm")</f>
        <v>2023-Oct</v>
      </c>
      <c r="I455">
        <f>IF(
   COUNTIFS(
      Data[CustomerID], Data[[#This Row],[CustomerID]],
      Data[OrderDate], "&lt;" &amp; EOMONTH(Data[[#This Row],[OrderDate]], -1) + 1
   ) &gt; 0,
   1,
   0
)</f>
        <v>0</v>
      </c>
      <c r="J455">
        <f>YEAR(Data[[#This Row],[OrderDate]])</f>
        <v>2023</v>
      </c>
      <c r="K455" s="2">
        <f>MONTH(Data[[#This Row],[OrderDate]])</f>
        <v>10</v>
      </c>
      <c r="M455" s="12">
        <v>1212</v>
      </c>
      <c r="N455" s="21">
        <f>MAX(Data[OrderDate])-_xlfn.MAXIFS(Data[OrderDate],Data[CustomerID],M455)</f>
        <v>473</v>
      </c>
      <c r="O455" s="22">
        <f>COUNTIFS(Data[CustomerID], M455)</f>
        <v>1</v>
      </c>
      <c r="P455" s="23">
        <f>SUMIFS(Data[Amount], Data[CustomerID], M455)</f>
        <v>207.11</v>
      </c>
    </row>
    <row r="456" spans="1:16" x14ac:dyDescent="0.25">
      <c r="A456">
        <v>1062</v>
      </c>
      <c r="B456">
        <v>141</v>
      </c>
      <c r="C456" s="1">
        <v>45229</v>
      </c>
      <c r="D456">
        <v>192.78</v>
      </c>
      <c r="E456" t="s">
        <v>17</v>
      </c>
      <c r="F456" t="s">
        <v>14</v>
      </c>
      <c r="G456">
        <f>COUNTIF(Data[CustomerID], Data[[#This Row],[CustomerID]])</f>
        <v>1</v>
      </c>
      <c r="H456" s="1" t="str">
        <f>TEXT(Data[OrderDate],"yyyy-mmm")</f>
        <v>2023-Oct</v>
      </c>
      <c r="I456">
        <f>IF(
   COUNTIFS(
      Data[CustomerID], Data[[#This Row],[CustomerID]],
      Data[OrderDate], "&lt;" &amp; EOMONTH(Data[[#This Row],[OrderDate]], -1) + 1
   ) &gt; 0,
   1,
   0
)</f>
        <v>0</v>
      </c>
      <c r="J456">
        <f>YEAR(Data[[#This Row],[OrderDate]])</f>
        <v>2023</v>
      </c>
      <c r="K456" s="2">
        <f>MONTH(Data[[#This Row],[OrderDate]])</f>
        <v>10</v>
      </c>
      <c r="M456" s="12">
        <v>1269</v>
      </c>
      <c r="N456" s="21">
        <f>MAX(Data[OrderDate])-_xlfn.MAXIFS(Data[OrderDate],Data[CustomerID],M456)</f>
        <v>66</v>
      </c>
      <c r="O456" s="22">
        <f>COUNTIFS(Data[CustomerID], M456)</f>
        <v>1</v>
      </c>
      <c r="P456" s="23">
        <f>SUMIFS(Data[Amount], Data[CustomerID], M456)</f>
        <v>205.63</v>
      </c>
    </row>
    <row r="457" spans="1:16" x14ac:dyDescent="0.25">
      <c r="A457">
        <v>1407</v>
      </c>
      <c r="B457">
        <v>955</v>
      </c>
      <c r="C457" s="1">
        <v>45229</v>
      </c>
      <c r="D457">
        <v>315.98</v>
      </c>
      <c r="E457" t="s">
        <v>15</v>
      </c>
      <c r="F457" t="s">
        <v>12</v>
      </c>
      <c r="G457">
        <f>COUNTIF(Data[CustomerID], Data[[#This Row],[CustomerID]])</f>
        <v>2</v>
      </c>
      <c r="H457" s="1" t="str">
        <f>TEXT(Data[OrderDate],"yyyy-mmm")</f>
        <v>2023-Oct</v>
      </c>
      <c r="I457">
        <f>IF(
   COUNTIFS(
      Data[CustomerID], Data[[#This Row],[CustomerID]],
      Data[OrderDate], "&lt;" &amp; EOMONTH(Data[[#This Row],[OrderDate]], -1) + 1
   ) &gt; 0,
   1,
   0
)</f>
        <v>0</v>
      </c>
      <c r="J457">
        <f>YEAR(Data[[#This Row],[OrderDate]])</f>
        <v>2023</v>
      </c>
      <c r="K457" s="2">
        <f>MONTH(Data[[#This Row],[OrderDate]])</f>
        <v>10</v>
      </c>
      <c r="M457" s="12">
        <v>1295</v>
      </c>
      <c r="N457" s="21">
        <f>MAX(Data[OrderDate])-_xlfn.MAXIFS(Data[OrderDate],Data[CustomerID],M457)</f>
        <v>187</v>
      </c>
      <c r="O457" s="22">
        <f>COUNTIFS(Data[CustomerID], M457)</f>
        <v>1</v>
      </c>
      <c r="P457" s="23">
        <f>SUMIFS(Data[Amount], Data[CustomerID], M457)</f>
        <v>205.49</v>
      </c>
    </row>
    <row r="458" spans="1:16" x14ac:dyDescent="0.25">
      <c r="A458">
        <v>1515</v>
      </c>
      <c r="B458">
        <v>460</v>
      </c>
      <c r="C458" s="1">
        <v>45231</v>
      </c>
      <c r="D458">
        <v>41.94</v>
      </c>
      <c r="E458" t="s">
        <v>17</v>
      </c>
      <c r="F458" t="s">
        <v>14</v>
      </c>
      <c r="G458">
        <f>COUNTIF(Data[CustomerID], Data[[#This Row],[CustomerID]])</f>
        <v>2</v>
      </c>
      <c r="H458" s="1" t="str">
        <f>TEXT(Data[OrderDate],"yyyy-mmm")</f>
        <v>2023-Nov</v>
      </c>
      <c r="I458">
        <f>IF(
   COUNTIFS(
      Data[CustomerID], Data[[#This Row],[CustomerID]],
      Data[OrderDate], "&lt;" &amp; EOMONTH(Data[[#This Row],[OrderDate]], -1) + 1
   ) &gt; 0,
   1,
   0
)</f>
        <v>0</v>
      </c>
      <c r="J458">
        <f>YEAR(Data[[#This Row],[OrderDate]])</f>
        <v>2023</v>
      </c>
      <c r="K458" s="2">
        <f>MONTH(Data[[#This Row],[OrderDate]])</f>
        <v>11</v>
      </c>
      <c r="M458" s="12">
        <v>1417</v>
      </c>
      <c r="N458" s="21">
        <f>MAX(Data[OrderDate])-_xlfn.MAXIFS(Data[OrderDate],Data[CustomerID],M458)</f>
        <v>323</v>
      </c>
      <c r="O458" s="22">
        <f>COUNTIFS(Data[CustomerID], M458)</f>
        <v>1</v>
      </c>
      <c r="P458" s="23">
        <f>SUMIFS(Data[Amount], Data[CustomerID], M458)</f>
        <v>202.42</v>
      </c>
    </row>
    <row r="459" spans="1:16" x14ac:dyDescent="0.25">
      <c r="A459">
        <v>1957</v>
      </c>
      <c r="B459">
        <v>49</v>
      </c>
      <c r="C459" s="1">
        <v>45232</v>
      </c>
      <c r="D459">
        <v>244.78</v>
      </c>
      <c r="E459" t="s">
        <v>8</v>
      </c>
      <c r="F459" t="s">
        <v>12</v>
      </c>
      <c r="G459">
        <f>COUNTIF(Data[CustomerID], Data[[#This Row],[CustomerID]])</f>
        <v>6</v>
      </c>
      <c r="H459" s="1" t="str">
        <f>TEXT(Data[OrderDate],"yyyy-mmm")</f>
        <v>2023-Nov</v>
      </c>
      <c r="I459">
        <f>IF(
   COUNTIFS(
      Data[CustomerID], Data[[#This Row],[CustomerID]],
      Data[OrderDate], "&lt;" &amp; EOMONTH(Data[[#This Row],[OrderDate]], -1) + 1
   ) &gt; 0,
   1,
   0
)</f>
        <v>1</v>
      </c>
      <c r="J459">
        <f>YEAR(Data[[#This Row],[OrderDate]])</f>
        <v>2023</v>
      </c>
      <c r="K459" s="2">
        <f>MONTH(Data[[#This Row],[OrderDate]])</f>
        <v>11</v>
      </c>
      <c r="M459" s="12">
        <v>1766</v>
      </c>
      <c r="N459" s="21">
        <f>MAX(Data[OrderDate])-_xlfn.MAXIFS(Data[OrderDate],Data[CustomerID],M459)</f>
        <v>125</v>
      </c>
      <c r="O459" s="22">
        <f>COUNTIFS(Data[CustomerID], M459)</f>
        <v>2</v>
      </c>
      <c r="P459" s="23">
        <f>SUMIFS(Data[Amount], Data[CustomerID], M459)</f>
        <v>201.84</v>
      </c>
    </row>
    <row r="460" spans="1:16" x14ac:dyDescent="0.25">
      <c r="A460">
        <v>1166</v>
      </c>
      <c r="B460">
        <v>64</v>
      </c>
      <c r="C460" s="1">
        <v>45232</v>
      </c>
      <c r="D460">
        <v>237.74</v>
      </c>
      <c r="E460" t="s">
        <v>11</v>
      </c>
      <c r="F460" t="s">
        <v>14</v>
      </c>
      <c r="G460">
        <f>COUNTIF(Data[CustomerID], Data[[#This Row],[CustomerID]])</f>
        <v>2</v>
      </c>
      <c r="H460" s="1" t="str">
        <f>TEXT(Data[OrderDate],"yyyy-mmm")</f>
        <v>2023-Nov</v>
      </c>
      <c r="I460">
        <f>IF(
   COUNTIFS(
      Data[CustomerID], Data[[#This Row],[CustomerID]],
      Data[OrderDate], "&lt;" &amp; EOMONTH(Data[[#This Row],[OrderDate]], -1) + 1
   ) &gt; 0,
   1,
   0
)</f>
        <v>0</v>
      </c>
      <c r="J460">
        <f>YEAR(Data[[#This Row],[OrderDate]])</f>
        <v>2023</v>
      </c>
      <c r="K460" s="2">
        <f>MONTH(Data[[#This Row],[OrderDate]])</f>
        <v>11</v>
      </c>
      <c r="M460" s="12">
        <v>1877</v>
      </c>
      <c r="N460" s="21">
        <f>MAX(Data[OrderDate])-_xlfn.MAXIFS(Data[OrderDate],Data[CustomerID],M460)</f>
        <v>269</v>
      </c>
      <c r="O460" s="22">
        <f>COUNTIFS(Data[CustomerID], M460)</f>
        <v>1</v>
      </c>
      <c r="P460" s="23">
        <f>SUMIFS(Data[Amount], Data[CustomerID], M460)</f>
        <v>201.6</v>
      </c>
    </row>
    <row r="461" spans="1:16" x14ac:dyDescent="0.25">
      <c r="A461">
        <v>1828</v>
      </c>
      <c r="B461">
        <v>918</v>
      </c>
      <c r="C461" s="1">
        <v>45232</v>
      </c>
      <c r="D461">
        <v>433.86</v>
      </c>
      <c r="E461" t="s">
        <v>6</v>
      </c>
      <c r="F461" t="s">
        <v>14</v>
      </c>
      <c r="G461">
        <f>COUNTIF(Data[CustomerID], Data[[#This Row],[CustomerID]])</f>
        <v>3</v>
      </c>
      <c r="H461" s="1" t="str">
        <f>TEXT(Data[OrderDate],"yyyy-mmm")</f>
        <v>2023-Nov</v>
      </c>
      <c r="I461">
        <f>IF(
   COUNTIFS(
      Data[CustomerID], Data[[#This Row],[CustomerID]],
      Data[OrderDate], "&lt;" &amp; EOMONTH(Data[[#This Row],[OrderDate]], -1) + 1
   ) &gt; 0,
   1,
   0
)</f>
        <v>1</v>
      </c>
      <c r="J461">
        <f>YEAR(Data[[#This Row],[OrderDate]])</f>
        <v>2023</v>
      </c>
      <c r="K461" s="2">
        <f>MONTH(Data[[#This Row],[OrderDate]])</f>
        <v>11</v>
      </c>
      <c r="M461" s="12">
        <v>1071</v>
      </c>
      <c r="N461" s="21">
        <f>MAX(Data[OrderDate])-_xlfn.MAXIFS(Data[OrderDate],Data[CustomerID],M461)</f>
        <v>476</v>
      </c>
      <c r="O461" s="22">
        <f>COUNTIFS(Data[CustomerID], M461)</f>
        <v>1</v>
      </c>
      <c r="P461" s="23">
        <f>SUMIFS(Data[Amount], Data[CustomerID], M461)</f>
        <v>200.79</v>
      </c>
    </row>
    <row r="462" spans="1:16" x14ac:dyDescent="0.25">
      <c r="A462">
        <v>1013</v>
      </c>
      <c r="B462">
        <v>69</v>
      </c>
      <c r="C462" s="1">
        <v>45234</v>
      </c>
      <c r="D462">
        <v>85.03</v>
      </c>
      <c r="E462" t="s">
        <v>17</v>
      </c>
      <c r="F462" t="s">
        <v>7</v>
      </c>
      <c r="G462">
        <f>COUNTIF(Data[CustomerID], Data[[#This Row],[CustomerID]])</f>
        <v>1</v>
      </c>
      <c r="H462" s="1" t="str">
        <f>TEXT(Data[OrderDate],"yyyy-mmm")</f>
        <v>2023-Nov</v>
      </c>
      <c r="I462">
        <f>IF(
   COUNTIFS(
      Data[CustomerID], Data[[#This Row],[CustomerID]],
      Data[OrderDate], "&lt;" &amp; EOMONTH(Data[[#This Row],[OrderDate]], -1) + 1
   ) &gt; 0,
   1,
   0
)</f>
        <v>0</v>
      </c>
      <c r="J462">
        <f>YEAR(Data[[#This Row],[OrderDate]])</f>
        <v>2023</v>
      </c>
      <c r="K462" s="2">
        <f>MONTH(Data[[#This Row],[OrderDate]])</f>
        <v>11</v>
      </c>
      <c r="M462" s="12">
        <v>1358</v>
      </c>
      <c r="N462" s="21">
        <f>MAX(Data[OrderDate])-_xlfn.MAXIFS(Data[OrderDate],Data[CustomerID],M462)</f>
        <v>699</v>
      </c>
      <c r="O462" s="22">
        <f>COUNTIFS(Data[CustomerID], M462)</f>
        <v>1</v>
      </c>
      <c r="P462" s="23">
        <f>SUMIFS(Data[Amount], Data[CustomerID], M462)</f>
        <v>200.21</v>
      </c>
    </row>
    <row r="463" spans="1:16" x14ac:dyDescent="0.25">
      <c r="A463">
        <v>1337</v>
      </c>
      <c r="B463">
        <v>408</v>
      </c>
      <c r="C463" s="1">
        <v>45235</v>
      </c>
      <c r="D463">
        <v>272.17</v>
      </c>
      <c r="E463" t="s">
        <v>11</v>
      </c>
      <c r="F463" t="s">
        <v>12</v>
      </c>
      <c r="G463">
        <f>COUNTIF(Data[CustomerID], Data[[#This Row],[CustomerID]])</f>
        <v>3</v>
      </c>
      <c r="H463" s="1" t="str">
        <f>TEXT(Data[OrderDate],"yyyy-mmm")</f>
        <v>2023-Nov</v>
      </c>
      <c r="I463">
        <f>IF(
   COUNTIFS(
      Data[CustomerID], Data[[#This Row],[CustomerID]],
      Data[OrderDate], "&lt;" &amp; EOMONTH(Data[[#This Row],[OrderDate]], -1) + 1
   ) &gt; 0,
   1,
   0
)</f>
        <v>1</v>
      </c>
      <c r="J463">
        <f>YEAR(Data[[#This Row],[OrderDate]])</f>
        <v>2023</v>
      </c>
      <c r="K463" s="2">
        <f>MONTH(Data[[#This Row],[OrderDate]])</f>
        <v>11</v>
      </c>
      <c r="M463" s="12">
        <v>1961</v>
      </c>
      <c r="N463" s="21">
        <f>MAX(Data[OrderDate])-_xlfn.MAXIFS(Data[OrderDate],Data[CustomerID],M463)</f>
        <v>200</v>
      </c>
      <c r="O463" s="22">
        <f>COUNTIFS(Data[CustomerID], M463)</f>
        <v>1</v>
      </c>
      <c r="P463" s="23">
        <f>SUMIFS(Data[Amount], Data[CustomerID], M463)</f>
        <v>199.23</v>
      </c>
    </row>
    <row r="464" spans="1:16" x14ac:dyDescent="0.25">
      <c r="A464">
        <v>1144</v>
      </c>
      <c r="B464">
        <v>976</v>
      </c>
      <c r="C464" s="1">
        <v>45235</v>
      </c>
      <c r="D464">
        <v>494.57</v>
      </c>
      <c r="E464" t="s">
        <v>15</v>
      </c>
      <c r="F464" t="s">
        <v>12</v>
      </c>
      <c r="G464">
        <f>COUNTIF(Data[CustomerID], Data[[#This Row],[CustomerID]])</f>
        <v>1</v>
      </c>
      <c r="H464" s="1" t="str">
        <f>TEXT(Data[OrderDate],"yyyy-mmm")</f>
        <v>2023-Nov</v>
      </c>
      <c r="I464">
        <f>IF(
   COUNTIFS(
      Data[CustomerID], Data[[#This Row],[CustomerID]],
      Data[OrderDate], "&lt;" &amp; EOMONTH(Data[[#This Row],[OrderDate]], -1) + 1
   ) &gt; 0,
   1,
   0
)</f>
        <v>0</v>
      </c>
      <c r="J464">
        <f>YEAR(Data[[#This Row],[OrderDate]])</f>
        <v>2023</v>
      </c>
      <c r="K464" s="2">
        <f>MONTH(Data[[#This Row],[OrderDate]])</f>
        <v>11</v>
      </c>
      <c r="M464" s="12">
        <v>1913</v>
      </c>
      <c r="N464" s="21">
        <f>MAX(Data[OrderDate])-_xlfn.MAXIFS(Data[OrderDate],Data[CustomerID],M464)</f>
        <v>329</v>
      </c>
      <c r="O464" s="22">
        <f>COUNTIFS(Data[CustomerID], M464)</f>
        <v>1</v>
      </c>
      <c r="P464" s="23">
        <f>SUMIFS(Data[Amount], Data[CustomerID], M464)</f>
        <v>198.57</v>
      </c>
    </row>
    <row r="465" spans="1:16" x14ac:dyDescent="0.25">
      <c r="A465">
        <v>1345</v>
      </c>
      <c r="B465">
        <v>606</v>
      </c>
      <c r="C465" s="1">
        <v>45236</v>
      </c>
      <c r="D465">
        <v>365.33</v>
      </c>
      <c r="E465" t="s">
        <v>11</v>
      </c>
      <c r="F465" t="s">
        <v>18</v>
      </c>
      <c r="G465">
        <f>COUNTIF(Data[CustomerID], Data[[#This Row],[CustomerID]])</f>
        <v>4</v>
      </c>
      <c r="H465" s="1" t="str">
        <f>TEXT(Data[OrderDate],"yyyy-mmm")</f>
        <v>2023-Nov</v>
      </c>
      <c r="I465">
        <f>IF(
   COUNTIFS(
      Data[CustomerID], Data[[#This Row],[CustomerID]],
      Data[OrderDate], "&lt;" &amp; EOMONTH(Data[[#This Row],[OrderDate]], -1) + 1
   ) &gt; 0,
   1,
   0
)</f>
        <v>1</v>
      </c>
      <c r="J465">
        <f>YEAR(Data[[#This Row],[OrderDate]])</f>
        <v>2023</v>
      </c>
      <c r="K465" s="2">
        <f>MONTH(Data[[#This Row],[OrderDate]])</f>
        <v>11</v>
      </c>
      <c r="M465" s="12">
        <v>1773</v>
      </c>
      <c r="N465" s="21">
        <f>MAX(Data[OrderDate])-_xlfn.MAXIFS(Data[OrderDate],Data[CustomerID],M465)</f>
        <v>532</v>
      </c>
      <c r="O465" s="22">
        <f>COUNTIFS(Data[CustomerID], M465)</f>
        <v>1</v>
      </c>
      <c r="P465" s="23">
        <f>SUMIFS(Data[Amount], Data[CustomerID], M465)</f>
        <v>197.38</v>
      </c>
    </row>
    <row r="466" spans="1:16" x14ac:dyDescent="0.25">
      <c r="A466">
        <v>1524</v>
      </c>
      <c r="B466">
        <v>770</v>
      </c>
      <c r="C466" s="1">
        <v>45236</v>
      </c>
      <c r="D466">
        <v>99.64</v>
      </c>
      <c r="E466" t="s">
        <v>15</v>
      </c>
      <c r="F466" t="s">
        <v>10</v>
      </c>
      <c r="G466">
        <f>COUNTIF(Data[CustomerID], Data[[#This Row],[CustomerID]])</f>
        <v>3</v>
      </c>
      <c r="H466" s="1" t="str">
        <f>TEXT(Data[OrderDate],"yyyy-mmm")</f>
        <v>2023-Nov</v>
      </c>
      <c r="I466">
        <f>IF(
   COUNTIFS(
      Data[CustomerID], Data[[#This Row],[CustomerID]],
      Data[OrderDate], "&lt;" &amp; EOMONTH(Data[[#This Row],[OrderDate]], -1) + 1
   ) &gt; 0,
   1,
   0
)</f>
        <v>0</v>
      </c>
      <c r="J466">
        <f>YEAR(Data[[#This Row],[OrderDate]])</f>
        <v>2023</v>
      </c>
      <c r="K466" s="2">
        <f>MONTH(Data[[#This Row],[OrderDate]])</f>
        <v>11</v>
      </c>
      <c r="M466" s="12">
        <v>1180</v>
      </c>
      <c r="N466" s="21">
        <f>MAX(Data[OrderDate])-_xlfn.MAXIFS(Data[OrderDate],Data[CustomerID],M466)</f>
        <v>242</v>
      </c>
      <c r="O466" s="22">
        <f>COUNTIFS(Data[CustomerID], M466)</f>
        <v>1</v>
      </c>
      <c r="P466" s="23">
        <f>SUMIFS(Data[Amount], Data[CustomerID], M466)</f>
        <v>196.6</v>
      </c>
    </row>
    <row r="467" spans="1:16" x14ac:dyDescent="0.25">
      <c r="A467">
        <v>1284</v>
      </c>
      <c r="B467">
        <v>715</v>
      </c>
      <c r="C467" s="1">
        <v>45237</v>
      </c>
      <c r="D467">
        <v>32.79</v>
      </c>
      <c r="E467" t="s">
        <v>8</v>
      </c>
      <c r="F467" t="s">
        <v>7</v>
      </c>
      <c r="G467">
        <f>COUNTIF(Data[CustomerID], Data[[#This Row],[CustomerID]])</f>
        <v>2</v>
      </c>
      <c r="H467" s="1" t="str">
        <f>TEXT(Data[OrderDate],"yyyy-mmm")</f>
        <v>2023-Nov</v>
      </c>
      <c r="I467">
        <f>IF(
   COUNTIFS(
      Data[CustomerID], Data[[#This Row],[CustomerID]],
      Data[OrderDate], "&lt;" &amp; EOMONTH(Data[[#This Row],[OrderDate]], -1) + 1
   ) &gt; 0,
   1,
   0
)</f>
        <v>0</v>
      </c>
      <c r="J467">
        <f>YEAR(Data[[#This Row],[OrderDate]])</f>
        <v>2023</v>
      </c>
      <c r="K467" s="2">
        <f>MONTH(Data[[#This Row],[OrderDate]])</f>
        <v>11</v>
      </c>
      <c r="M467" s="12">
        <v>1062</v>
      </c>
      <c r="N467" s="21">
        <f>MAX(Data[OrderDate])-_xlfn.MAXIFS(Data[OrderDate],Data[CustomerID],M467)</f>
        <v>397</v>
      </c>
      <c r="O467" s="22">
        <f>COUNTIFS(Data[CustomerID], M467)</f>
        <v>1</v>
      </c>
      <c r="P467" s="23">
        <f>SUMIFS(Data[Amount], Data[CustomerID], M467)</f>
        <v>192.78</v>
      </c>
    </row>
    <row r="468" spans="1:16" x14ac:dyDescent="0.25">
      <c r="A468">
        <v>1027</v>
      </c>
      <c r="B468">
        <v>154</v>
      </c>
      <c r="C468" s="1">
        <v>45238</v>
      </c>
      <c r="D468">
        <v>119.41</v>
      </c>
      <c r="E468" t="s">
        <v>6</v>
      </c>
      <c r="F468" t="s">
        <v>7</v>
      </c>
      <c r="G468">
        <f>COUNTIF(Data[CustomerID], Data[[#This Row],[CustomerID]])</f>
        <v>2</v>
      </c>
      <c r="H468" s="1" t="str">
        <f>TEXT(Data[OrderDate],"yyyy-mmm")</f>
        <v>2023-Nov</v>
      </c>
      <c r="I468">
        <f>IF(
   COUNTIFS(
      Data[CustomerID], Data[[#This Row],[CustomerID]],
      Data[OrderDate], "&lt;" &amp; EOMONTH(Data[[#This Row],[OrderDate]], -1) + 1
   ) &gt; 0,
   1,
   0
)</f>
        <v>1</v>
      </c>
      <c r="J468">
        <f>YEAR(Data[[#This Row],[OrderDate]])</f>
        <v>2023</v>
      </c>
      <c r="K468" s="2">
        <f>MONTH(Data[[#This Row],[OrderDate]])</f>
        <v>11</v>
      </c>
      <c r="M468" s="12">
        <v>1181</v>
      </c>
      <c r="N468" s="21">
        <f>MAX(Data[OrderDate])-_xlfn.MAXIFS(Data[OrderDate],Data[CustomerID],M468)</f>
        <v>442</v>
      </c>
      <c r="O468" s="22">
        <f>COUNTIFS(Data[CustomerID], M468)</f>
        <v>1</v>
      </c>
      <c r="P468" s="23">
        <f>SUMIFS(Data[Amount], Data[CustomerID], M468)</f>
        <v>192.62</v>
      </c>
    </row>
    <row r="469" spans="1:16" x14ac:dyDescent="0.25">
      <c r="A469">
        <v>1392</v>
      </c>
      <c r="B469">
        <v>613</v>
      </c>
      <c r="C469" s="1">
        <v>45238</v>
      </c>
      <c r="D469">
        <v>174.48</v>
      </c>
      <c r="E469" t="s">
        <v>6</v>
      </c>
      <c r="F469" t="s">
        <v>12</v>
      </c>
      <c r="G469">
        <f>COUNTIF(Data[CustomerID], Data[[#This Row],[CustomerID]])</f>
        <v>4</v>
      </c>
      <c r="H469" s="1" t="str">
        <f>TEXT(Data[OrderDate],"yyyy-mmm")</f>
        <v>2023-Nov</v>
      </c>
      <c r="I469">
        <f>IF(
   COUNTIFS(
      Data[CustomerID], Data[[#This Row],[CustomerID]],
      Data[OrderDate], "&lt;" &amp; EOMONTH(Data[[#This Row],[OrderDate]], -1) + 1
   ) &gt; 0,
   1,
   0
)</f>
        <v>1</v>
      </c>
      <c r="J469">
        <f>YEAR(Data[[#This Row],[OrderDate]])</f>
        <v>2023</v>
      </c>
      <c r="K469" s="2">
        <f>MONTH(Data[[#This Row],[OrderDate]])</f>
        <v>11</v>
      </c>
      <c r="M469" s="12">
        <v>1556</v>
      </c>
      <c r="N469" s="21">
        <f>MAX(Data[OrderDate])-_xlfn.MAXIFS(Data[OrderDate],Data[CustomerID],M469)</f>
        <v>152</v>
      </c>
      <c r="O469" s="22">
        <f>COUNTIFS(Data[CustomerID], M469)</f>
        <v>1</v>
      </c>
      <c r="P469" s="23">
        <f>SUMIFS(Data[Amount], Data[CustomerID], M469)</f>
        <v>190.96</v>
      </c>
    </row>
    <row r="470" spans="1:16" x14ac:dyDescent="0.25">
      <c r="A470">
        <v>1719</v>
      </c>
      <c r="B470">
        <v>412</v>
      </c>
      <c r="C470" s="1">
        <v>45239</v>
      </c>
      <c r="D470">
        <v>362.1</v>
      </c>
      <c r="E470" t="s">
        <v>9</v>
      </c>
      <c r="F470" t="s">
        <v>18</v>
      </c>
      <c r="G470">
        <f>COUNTIF(Data[CustomerID], Data[[#This Row],[CustomerID]])</f>
        <v>2</v>
      </c>
      <c r="H470" s="1" t="str">
        <f>TEXT(Data[OrderDate],"yyyy-mmm")</f>
        <v>2023-Nov</v>
      </c>
      <c r="I470">
        <f>IF(
   COUNTIFS(
      Data[CustomerID], Data[[#This Row],[CustomerID]],
      Data[OrderDate], "&lt;" &amp; EOMONTH(Data[[#This Row],[OrderDate]], -1) + 1
   ) &gt; 0,
   1,
   0
)</f>
        <v>1</v>
      </c>
      <c r="J470">
        <f>YEAR(Data[[#This Row],[OrderDate]])</f>
        <v>2023</v>
      </c>
      <c r="K470" s="2">
        <f>MONTH(Data[[#This Row],[OrderDate]])</f>
        <v>11</v>
      </c>
      <c r="M470" s="12">
        <v>1206</v>
      </c>
      <c r="N470" s="21">
        <f>MAX(Data[OrderDate])-_xlfn.MAXIFS(Data[OrderDate],Data[CustomerID],M470)</f>
        <v>666</v>
      </c>
      <c r="O470" s="22">
        <f>COUNTIFS(Data[CustomerID], M470)</f>
        <v>1</v>
      </c>
      <c r="P470" s="23">
        <f>SUMIFS(Data[Amount], Data[CustomerID], M470)</f>
        <v>190.28</v>
      </c>
    </row>
    <row r="471" spans="1:16" x14ac:dyDescent="0.25">
      <c r="A471">
        <v>1982</v>
      </c>
      <c r="B471">
        <v>491</v>
      </c>
      <c r="C471" s="1">
        <v>45239</v>
      </c>
      <c r="D471">
        <v>165.13</v>
      </c>
      <c r="E471" t="s">
        <v>11</v>
      </c>
      <c r="F471" t="s">
        <v>19</v>
      </c>
      <c r="G471">
        <f>COUNTIF(Data[CustomerID], Data[[#This Row],[CustomerID]])</f>
        <v>1</v>
      </c>
      <c r="H471" s="1" t="str">
        <f>TEXT(Data[OrderDate],"yyyy-mmm")</f>
        <v>2023-Nov</v>
      </c>
      <c r="I471">
        <f>IF(
   COUNTIFS(
      Data[CustomerID], Data[[#This Row],[CustomerID]],
      Data[OrderDate], "&lt;" &amp; EOMONTH(Data[[#This Row],[OrderDate]], -1) + 1
   ) &gt; 0,
   1,
   0
)</f>
        <v>0</v>
      </c>
      <c r="J471">
        <f>YEAR(Data[[#This Row],[OrderDate]])</f>
        <v>2023</v>
      </c>
      <c r="K471" s="2">
        <f>MONTH(Data[[#This Row],[OrderDate]])</f>
        <v>11</v>
      </c>
      <c r="M471" s="12">
        <v>1132</v>
      </c>
      <c r="N471" s="21">
        <f>MAX(Data[OrderDate])-_xlfn.MAXIFS(Data[OrderDate],Data[CustomerID],M471)</f>
        <v>384</v>
      </c>
      <c r="O471" s="22">
        <f>COUNTIFS(Data[CustomerID], M471)</f>
        <v>1</v>
      </c>
      <c r="P471" s="23">
        <f>SUMIFS(Data[Amount], Data[CustomerID], M471)</f>
        <v>189.11</v>
      </c>
    </row>
    <row r="472" spans="1:16" x14ac:dyDescent="0.25">
      <c r="A472">
        <v>1095</v>
      </c>
      <c r="B472">
        <v>200</v>
      </c>
      <c r="C472" s="1">
        <v>45241</v>
      </c>
      <c r="D472">
        <v>335.15</v>
      </c>
      <c r="E472" t="s">
        <v>13</v>
      </c>
      <c r="F472" t="s">
        <v>19</v>
      </c>
      <c r="G472">
        <f>COUNTIF(Data[CustomerID], Data[[#This Row],[CustomerID]])</f>
        <v>3</v>
      </c>
      <c r="H472" s="1" t="str">
        <f>TEXT(Data[OrderDate],"yyyy-mmm")</f>
        <v>2023-Nov</v>
      </c>
      <c r="I472">
        <f>IF(
   COUNTIFS(
      Data[CustomerID], Data[[#This Row],[CustomerID]],
      Data[OrderDate], "&lt;" &amp; EOMONTH(Data[[#This Row],[OrderDate]], -1) + 1
   ) &gt; 0,
   1,
   0
)</f>
        <v>1</v>
      </c>
      <c r="J472">
        <f>YEAR(Data[[#This Row],[OrderDate]])</f>
        <v>2023</v>
      </c>
      <c r="K472" s="2">
        <f>MONTH(Data[[#This Row],[OrderDate]])</f>
        <v>11</v>
      </c>
      <c r="M472" s="12">
        <v>1792</v>
      </c>
      <c r="N472" s="21">
        <f>MAX(Data[OrderDate])-_xlfn.MAXIFS(Data[OrderDate],Data[CustomerID],M472)</f>
        <v>121</v>
      </c>
      <c r="O472" s="22">
        <f>COUNTIFS(Data[CustomerID], M472)</f>
        <v>1</v>
      </c>
      <c r="P472" s="23">
        <f>SUMIFS(Data[Amount], Data[CustomerID], M472)</f>
        <v>188.85</v>
      </c>
    </row>
    <row r="473" spans="1:16" x14ac:dyDescent="0.25">
      <c r="A473">
        <v>1132</v>
      </c>
      <c r="B473">
        <v>826</v>
      </c>
      <c r="C473" s="1">
        <v>45242</v>
      </c>
      <c r="D473">
        <v>189.11</v>
      </c>
      <c r="E473" t="s">
        <v>9</v>
      </c>
      <c r="F473" t="s">
        <v>18</v>
      </c>
      <c r="G473">
        <f>COUNTIF(Data[CustomerID], Data[[#This Row],[CustomerID]])</f>
        <v>1</v>
      </c>
      <c r="H473" s="1" t="str">
        <f>TEXT(Data[OrderDate],"yyyy-mmm")</f>
        <v>2023-Nov</v>
      </c>
      <c r="I473">
        <f>IF(
   COUNTIFS(
      Data[CustomerID], Data[[#This Row],[CustomerID]],
      Data[OrderDate], "&lt;" &amp; EOMONTH(Data[[#This Row],[OrderDate]], -1) + 1
   ) &gt; 0,
   1,
   0
)</f>
        <v>0</v>
      </c>
      <c r="J473">
        <f>YEAR(Data[[#This Row],[OrderDate]])</f>
        <v>2023</v>
      </c>
      <c r="K473" s="2">
        <f>MONTH(Data[[#This Row],[OrderDate]])</f>
        <v>11</v>
      </c>
      <c r="M473" s="12">
        <v>1375</v>
      </c>
      <c r="N473" s="21">
        <f>MAX(Data[OrderDate])-_xlfn.MAXIFS(Data[OrderDate],Data[CustomerID],M473)</f>
        <v>30</v>
      </c>
      <c r="O473" s="22">
        <f>COUNTIFS(Data[CustomerID], M473)</f>
        <v>1</v>
      </c>
      <c r="P473" s="23">
        <f>SUMIFS(Data[Amount], Data[CustomerID], M473)</f>
        <v>188.75</v>
      </c>
    </row>
    <row r="474" spans="1:16" x14ac:dyDescent="0.25">
      <c r="A474">
        <v>1806</v>
      </c>
      <c r="B474">
        <v>275</v>
      </c>
      <c r="C474" s="1">
        <v>45244</v>
      </c>
      <c r="D474">
        <v>263.63</v>
      </c>
      <c r="E474" t="s">
        <v>8</v>
      </c>
      <c r="F474" t="s">
        <v>7</v>
      </c>
      <c r="G474">
        <f>COUNTIF(Data[CustomerID], Data[[#This Row],[CustomerID]])</f>
        <v>1</v>
      </c>
      <c r="H474" s="1" t="str">
        <f>TEXT(Data[OrderDate],"yyyy-mmm")</f>
        <v>2023-Nov</v>
      </c>
      <c r="I474">
        <f>IF(
   COUNTIFS(
      Data[CustomerID], Data[[#This Row],[CustomerID]],
      Data[OrderDate], "&lt;" &amp; EOMONTH(Data[[#This Row],[OrderDate]], -1) + 1
   ) &gt; 0,
   1,
   0
)</f>
        <v>0</v>
      </c>
      <c r="J474">
        <f>YEAR(Data[[#This Row],[OrderDate]])</f>
        <v>2023</v>
      </c>
      <c r="K474" s="2">
        <f>MONTH(Data[[#This Row],[OrderDate]])</f>
        <v>11</v>
      </c>
      <c r="M474" s="12">
        <v>1710</v>
      </c>
      <c r="N474" s="21">
        <f>MAX(Data[OrderDate])-_xlfn.MAXIFS(Data[OrderDate],Data[CustomerID],M474)</f>
        <v>504</v>
      </c>
      <c r="O474" s="22">
        <f>COUNTIFS(Data[CustomerID], M474)</f>
        <v>1</v>
      </c>
      <c r="P474" s="23">
        <f>SUMIFS(Data[Amount], Data[CustomerID], M474)</f>
        <v>186.64</v>
      </c>
    </row>
    <row r="475" spans="1:16" x14ac:dyDescent="0.25">
      <c r="A475">
        <v>1452</v>
      </c>
      <c r="B475">
        <v>456</v>
      </c>
      <c r="C475" s="1">
        <v>45244</v>
      </c>
      <c r="D475">
        <v>311.64999999999998</v>
      </c>
      <c r="E475" t="s">
        <v>8</v>
      </c>
      <c r="F475" t="s">
        <v>14</v>
      </c>
      <c r="G475">
        <f>COUNTIF(Data[CustomerID], Data[[#This Row],[CustomerID]])</f>
        <v>3</v>
      </c>
      <c r="H475" s="1" t="str">
        <f>TEXT(Data[OrderDate],"yyyy-mmm")</f>
        <v>2023-Nov</v>
      </c>
      <c r="I475">
        <f>IF(
   COUNTIFS(
      Data[CustomerID], Data[[#This Row],[CustomerID]],
      Data[OrderDate], "&lt;" &amp; EOMONTH(Data[[#This Row],[OrderDate]], -1) + 1
   ) &gt; 0,
   1,
   0
)</f>
        <v>1</v>
      </c>
      <c r="J475">
        <f>YEAR(Data[[#This Row],[OrderDate]])</f>
        <v>2023</v>
      </c>
      <c r="K475" s="2">
        <f>MONTH(Data[[#This Row],[OrderDate]])</f>
        <v>11</v>
      </c>
      <c r="M475" s="12">
        <v>1516</v>
      </c>
      <c r="N475" s="21">
        <f>MAX(Data[OrderDate])-_xlfn.MAXIFS(Data[OrderDate],Data[CustomerID],M475)</f>
        <v>337</v>
      </c>
      <c r="O475" s="22">
        <f>COUNTIFS(Data[CustomerID], M475)</f>
        <v>1</v>
      </c>
      <c r="P475" s="23">
        <f>SUMIFS(Data[Amount], Data[CustomerID], M475)</f>
        <v>185.03</v>
      </c>
    </row>
    <row r="476" spans="1:16" x14ac:dyDescent="0.25">
      <c r="A476">
        <v>1957</v>
      </c>
      <c r="B476">
        <v>654</v>
      </c>
      <c r="C476" s="1">
        <v>45244</v>
      </c>
      <c r="D476">
        <v>323.47000000000003</v>
      </c>
      <c r="E476" t="s">
        <v>13</v>
      </c>
      <c r="F476" t="s">
        <v>12</v>
      </c>
      <c r="G476">
        <f>COUNTIF(Data[CustomerID], Data[[#This Row],[CustomerID]])</f>
        <v>6</v>
      </c>
      <c r="H476" s="1" t="str">
        <f>TEXT(Data[OrderDate],"yyyy-mmm")</f>
        <v>2023-Nov</v>
      </c>
      <c r="I476">
        <f>IF(
   COUNTIFS(
      Data[CustomerID], Data[[#This Row],[CustomerID]],
      Data[OrderDate], "&lt;" &amp; EOMONTH(Data[[#This Row],[OrderDate]], -1) + 1
   ) &gt; 0,
   1,
   0
)</f>
        <v>1</v>
      </c>
      <c r="J476">
        <f>YEAR(Data[[#This Row],[OrderDate]])</f>
        <v>2023</v>
      </c>
      <c r="K476" s="2">
        <f>MONTH(Data[[#This Row],[OrderDate]])</f>
        <v>11</v>
      </c>
      <c r="M476" s="12">
        <v>1169</v>
      </c>
      <c r="N476" s="21">
        <f>MAX(Data[OrderDate])-_xlfn.MAXIFS(Data[OrderDate],Data[CustomerID],M476)</f>
        <v>532</v>
      </c>
      <c r="O476" s="22">
        <f>COUNTIFS(Data[CustomerID], M476)</f>
        <v>1</v>
      </c>
      <c r="P476" s="23">
        <f>SUMIFS(Data[Amount], Data[CustomerID], M476)</f>
        <v>184.73</v>
      </c>
    </row>
    <row r="477" spans="1:16" x14ac:dyDescent="0.25">
      <c r="A477">
        <v>1089</v>
      </c>
      <c r="B477">
        <v>727</v>
      </c>
      <c r="C477" s="1">
        <v>45244</v>
      </c>
      <c r="D477">
        <v>455.15</v>
      </c>
      <c r="E477" t="s">
        <v>15</v>
      </c>
      <c r="F477" t="s">
        <v>19</v>
      </c>
      <c r="G477">
        <f>COUNTIF(Data[CustomerID], Data[[#This Row],[CustomerID]])</f>
        <v>2</v>
      </c>
      <c r="H477" s="1" t="str">
        <f>TEXT(Data[OrderDate],"yyyy-mmm")</f>
        <v>2023-Nov</v>
      </c>
      <c r="I477">
        <f>IF(
   COUNTIFS(
      Data[CustomerID], Data[[#This Row],[CustomerID]],
      Data[OrderDate], "&lt;" &amp; EOMONTH(Data[[#This Row],[OrderDate]], -1) + 1
   ) &gt; 0,
   1,
   0
)</f>
        <v>0</v>
      </c>
      <c r="J477">
        <f>YEAR(Data[[#This Row],[OrderDate]])</f>
        <v>2023</v>
      </c>
      <c r="K477" s="2">
        <f>MONTH(Data[[#This Row],[OrderDate]])</f>
        <v>11</v>
      </c>
      <c r="M477" s="12">
        <v>1148</v>
      </c>
      <c r="N477" s="21">
        <f>MAX(Data[OrderDate])-_xlfn.MAXIFS(Data[OrderDate],Data[CustomerID],M477)</f>
        <v>13</v>
      </c>
      <c r="O477" s="22">
        <f>COUNTIFS(Data[CustomerID], M477)</f>
        <v>1</v>
      </c>
      <c r="P477" s="23">
        <f>SUMIFS(Data[Amount], Data[CustomerID], M477)</f>
        <v>183.39</v>
      </c>
    </row>
    <row r="478" spans="1:16" x14ac:dyDescent="0.25">
      <c r="A478">
        <v>1750</v>
      </c>
      <c r="B478">
        <v>833</v>
      </c>
      <c r="C478" s="1">
        <v>45244</v>
      </c>
      <c r="D478">
        <v>51.55</v>
      </c>
      <c r="E478" t="s">
        <v>17</v>
      </c>
      <c r="F478" t="s">
        <v>7</v>
      </c>
      <c r="G478">
        <f>COUNTIF(Data[CustomerID], Data[[#This Row],[CustomerID]])</f>
        <v>2</v>
      </c>
      <c r="H478" s="1" t="str">
        <f>TEXT(Data[OrderDate],"yyyy-mmm")</f>
        <v>2023-Nov</v>
      </c>
      <c r="I478">
        <f>IF(
   COUNTIFS(
      Data[CustomerID], Data[[#This Row],[CustomerID]],
      Data[OrderDate], "&lt;" &amp; EOMONTH(Data[[#This Row],[OrderDate]], -1) + 1
   ) &gt; 0,
   1,
   0
)</f>
        <v>0</v>
      </c>
      <c r="J478">
        <f>YEAR(Data[[#This Row],[OrderDate]])</f>
        <v>2023</v>
      </c>
      <c r="K478" s="2">
        <f>MONTH(Data[[#This Row],[OrderDate]])</f>
        <v>11</v>
      </c>
      <c r="M478" s="12">
        <v>1786</v>
      </c>
      <c r="N478" s="21">
        <f>MAX(Data[OrderDate])-_xlfn.MAXIFS(Data[OrderDate],Data[CustomerID],M478)</f>
        <v>24</v>
      </c>
      <c r="O478" s="22">
        <f>COUNTIFS(Data[CustomerID], M478)</f>
        <v>2</v>
      </c>
      <c r="P478" s="23">
        <f>SUMIFS(Data[Amount], Data[CustomerID], M478)</f>
        <v>182.97</v>
      </c>
    </row>
    <row r="479" spans="1:16" x14ac:dyDescent="0.25">
      <c r="A479">
        <v>1691</v>
      </c>
      <c r="B479">
        <v>267</v>
      </c>
      <c r="C479" s="1">
        <v>45245</v>
      </c>
      <c r="D479">
        <v>465.15</v>
      </c>
      <c r="E479" t="s">
        <v>17</v>
      </c>
      <c r="F479" t="s">
        <v>14</v>
      </c>
      <c r="G479">
        <f>COUNTIF(Data[CustomerID], Data[[#This Row],[CustomerID]])</f>
        <v>2</v>
      </c>
      <c r="H479" s="1" t="str">
        <f>TEXT(Data[OrderDate],"yyyy-mmm")</f>
        <v>2023-Nov</v>
      </c>
      <c r="I479">
        <f>IF(
   COUNTIFS(
      Data[CustomerID], Data[[#This Row],[CustomerID]],
      Data[OrderDate], "&lt;" &amp; EOMONTH(Data[[#This Row],[OrderDate]], -1) + 1
   ) &gt; 0,
   1,
   0
)</f>
        <v>1</v>
      </c>
      <c r="J479">
        <f>YEAR(Data[[#This Row],[OrderDate]])</f>
        <v>2023</v>
      </c>
      <c r="K479" s="2">
        <f>MONTH(Data[[#This Row],[OrderDate]])</f>
        <v>11</v>
      </c>
      <c r="M479" s="12">
        <v>1587</v>
      </c>
      <c r="N479" s="21">
        <f>MAX(Data[OrderDate])-_xlfn.MAXIFS(Data[OrderDate],Data[CustomerID],M479)</f>
        <v>351</v>
      </c>
      <c r="O479" s="22">
        <f>COUNTIFS(Data[CustomerID], M479)</f>
        <v>1</v>
      </c>
      <c r="P479" s="23">
        <f>SUMIFS(Data[Amount], Data[CustomerID], M479)</f>
        <v>181.55</v>
      </c>
    </row>
    <row r="480" spans="1:16" x14ac:dyDescent="0.25">
      <c r="A480">
        <v>1547</v>
      </c>
      <c r="B480">
        <v>758</v>
      </c>
      <c r="C480" s="1">
        <v>45245</v>
      </c>
      <c r="D480">
        <v>367.56</v>
      </c>
      <c r="E480" t="s">
        <v>13</v>
      </c>
      <c r="F480" t="s">
        <v>19</v>
      </c>
      <c r="G480">
        <f>COUNTIF(Data[CustomerID], Data[[#This Row],[CustomerID]])</f>
        <v>1</v>
      </c>
      <c r="H480" s="1" t="str">
        <f>TEXT(Data[OrderDate],"yyyy-mmm")</f>
        <v>2023-Nov</v>
      </c>
      <c r="I480">
        <f>IF(
   COUNTIFS(
      Data[CustomerID], Data[[#This Row],[CustomerID]],
      Data[OrderDate], "&lt;" &amp; EOMONTH(Data[[#This Row],[OrderDate]], -1) + 1
   ) &gt; 0,
   1,
   0
)</f>
        <v>0</v>
      </c>
      <c r="J480">
        <f>YEAR(Data[[#This Row],[OrderDate]])</f>
        <v>2023</v>
      </c>
      <c r="K480" s="2">
        <f>MONTH(Data[[#This Row],[OrderDate]])</f>
        <v>11</v>
      </c>
      <c r="M480" s="12">
        <v>1226</v>
      </c>
      <c r="N480" s="21">
        <f>MAX(Data[OrderDate])-_xlfn.MAXIFS(Data[OrderDate],Data[CustomerID],M480)</f>
        <v>295</v>
      </c>
      <c r="O480" s="22">
        <f>COUNTIFS(Data[CustomerID], M480)</f>
        <v>2</v>
      </c>
      <c r="P480" s="23">
        <f>SUMIFS(Data[Amount], Data[CustomerID], M480)</f>
        <v>177.7</v>
      </c>
    </row>
    <row r="481" spans="1:16" x14ac:dyDescent="0.25">
      <c r="A481">
        <v>1240</v>
      </c>
      <c r="B481">
        <v>198</v>
      </c>
      <c r="C481" s="1">
        <v>45246</v>
      </c>
      <c r="D481">
        <v>470.73</v>
      </c>
      <c r="E481" t="s">
        <v>17</v>
      </c>
      <c r="F481" t="s">
        <v>16</v>
      </c>
      <c r="G481">
        <f>COUNTIF(Data[CustomerID], Data[[#This Row],[CustomerID]])</f>
        <v>1</v>
      </c>
      <c r="H481" s="1" t="str">
        <f>TEXT(Data[OrderDate],"yyyy-mmm")</f>
        <v>2023-Nov</v>
      </c>
      <c r="I481">
        <f>IF(
   COUNTIFS(
      Data[CustomerID], Data[[#This Row],[CustomerID]],
      Data[OrderDate], "&lt;" &amp; EOMONTH(Data[[#This Row],[OrderDate]], -1) + 1
   ) &gt; 0,
   1,
   0
)</f>
        <v>0</v>
      </c>
      <c r="J481">
        <f>YEAR(Data[[#This Row],[OrderDate]])</f>
        <v>2023</v>
      </c>
      <c r="K481" s="2">
        <f>MONTH(Data[[#This Row],[OrderDate]])</f>
        <v>11</v>
      </c>
      <c r="M481" s="12">
        <v>1661</v>
      </c>
      <c r="N481" s="21">
        <f>MAX(Data[OrderDate])-_xlfn.MAXIFS(Data[OrderDate],Data[CustomerID],M481)</f>
        <v>224</v>
      </c>
      <c r="O481" s="22">
        <f>COUNTIFS(Data[CustomerID], M481)</f>
        <v>1</v>
      </c>
      <c r="P481" s="23">
        <f>SUMIFS(Data[Amount], Data[CustomerID], M481)</f>
        <v>176.28</v>
      </c>
    </row>
    <row r="482" spans="1:16" x14ac:dyDescent="0.25">
      <c r="A482">
        <v>1410</v>
      </c>
      <c r="B482">
        <v>251</v>
      </c>
      <c r="C482" s="1">
        <v>45246</v>
      </c>
      <c r="D482">
        <v>359.17</v>
      </c>
      <c r="E482" t="s">
        <v>6</v>
      </c>
      <c r="F482" t="s">
        <v>19</v>
      </c>
      <c r="G482">
        <f>COUNTIF(Data[CustomerID], Data[[#This Row],[CustomerID]])</f>
        <v>1</v>
      </c>
      <c r="H482" s="1" t="str">
        <f>TEXT(Data[OrderDate],"yyyy-mmm")</f>
        <v>2023-Nov</v>
      </c>
      <c r="I482">
        <f>IF(
   COUNTIFS(
      Data[CustomerID], Data[[#This Row],[CustomerID]],
      Data[OrderDate], "&lt;" &amp; EOMONTH(Data[[#This Row],[OrderDate]], -1) + 1
   ) &gt; 0,
   1,
   0
)</f>
        <v>0</v>
      </c>
      <c r="J482">
        <f>YEAR(Data[[#This Row],[OrderDate]])</f>
        <v>2023</v>
      </c>
      <c r="K482" s="2">
        <f>MONTH(Data[[#This Row],[OrderDate]])</f>
        <v>11</v>
      </c>
      <c r="M482" s="12">
        <v>1278</v>
      </c>
      <c r="N482" s="21">
        <f>MAX(Data[OrderDate])-_xlfn.MAXIFS(Data[OrderDate],Data[CustomerID],M482)</f>
        <v>457</v>
      </c>
      <c r="O482" s="22">
        <f>COUNTIFS(Data[CustomerID], M482)</f>
        <v>1</v>
      </c>
      <c r="P482" s="23">
        <f>SUMIFS(Data[Amount], Data[CustomerID], M482)</f>
        <v>172.44</v>
      </c>
    </row>
    <row r="483" spans="1:16" x14ac:dyDescent="0.25">
      <c r="A483">
        <v>1001</v>
      </c>
      <c r="B483">
        <v>285</v>
      </c>
      <c r="C483" s="1">
        <v>45246</v>
      </c>
      <c r="D483">
        <v>48.08</v>
      </c>
      <c r="E483" t="s">
        <v>17</v>
      </c>
      <c r="F483" t="s">
        <v>19</v>
      </c>
      <c r="G483">
        <f>COUNTIF(Data[CustomerID], Data[[#This Row],[CustomerID]])</f>
        <v>3</v>
      </c>
      <c r="H483" s="1" t="str">
        <f>TEXT(Data[OrderDate],"yyyy-mmm")</f>
        <v>2023-Nov</v>
      </c>
      <c r="I483">
        <f>IF(
   COUNTIFS(
      Data[CustomerID], Data[[#This Row],[CustomerID]],
      Data[OrderDate], "&lt;" &amp; EOMONTH(Data[[#This Row],[OrderDate]], -1) + 1
   ) &gt; 0,
   1,
   0
)</f>
        <v>1</v>
      </c>
      <c r="J483">
        <f>YEAR(Data[[#This Row],[OrderDate]])</f>
        <v>2023</v>
      </c>
      <c r="K483" s="2">
        <f>MONTH(Data[[#This Row],[OrderDate]])</f>
        <v>11</v>
      </c>
      <c r="M483" s="12">
        <v>1315</v>
      </c>
      <c r="N483" s="21">
        <f>MAX(Data[OrderDate])-_xlfn.MAXIFS(Data[OrderDate],Data[CustomerID],M483)</f>
        <v>253</v>
      </c>
      <c r="O483" s="22">
        <f>COUNTIFS(Data[CustomerID], M483)</f>
        <v>2</v>
      </c>
      <c r="P483" s="23">
        <f>SUMIFS(Data[Amount], Data[CustomerID], M483)</f>
        <v>172.11</v>
      </c>
    </row>
    <row r="484" spans="1:16" x14ac:dyDescent="0.25">
      <c r="A484">
        <v>1232</v>
      </c>
      <c r="B484">
        <v>266</v>
      </c>
      <c r="C484" s="1">
        <v>45247</v>
      </c>
      <c r="D484">
        <v>336.7</v>
      </c>
      <c r="E484" t="s">
        <v>15</v>
      </c>
      <c r="F484" t="s">
        <v>12</v>
      </c>
      <c r="G484">
        <f>COUNTIF(Data[CustomerID], Data[[#This Row],[CustomerID]])</f>
        <v>4</v>
      </c>
      <c r="H484" s="1" t="str">
        <f>TEXT(Data[OrderDate],"yyyy-mmm")</f>
        <v>2023-Nov</v>
      </c>
      <c r="I484">
        <f>IF(
   COUNTIFS(
      Data[CustomerID], Data[[#This Row],[CustomerID]],
      Data[OrderDate], "&lt;" &amp; EOMONTH(Data[[#This Row],[OrderDate]], -1) + 1
   ) &gt; 0,
   1,
   0
)</f>
        <v>1</v>
      </c>
      <c r="J484">
        <f>YEAR(Data[[#This Row],[OrderDate]])</f>
        <v>2023</v>
      </c>
      <c r="K484" s="2">
        <f>MONTH(Data[[#This Row],[OrderDate]])</f>
        <v>11</v>
      </c>
      <c r="M484" s="12">
        <v>1090</v>
      </c>
      <c r="N484" s="21">
        <f>MAX(Data[OrderDate])-_xlfn.MAXIFS(Data[OrderDate],Data[CustomerID],M484)</f>
        <v>176</v>
      </c>
      <c r="O484" s="22">
        <f>COUNTIFS(Data[CustomerID], M484)</f>
        <v>1</v>
      </c>
      <c r="P484" s="23">
        <f>SUMIFS(Data[Amount], Data[CustomerID], M484)</f>
        <v>171.74</v>
      </c>
    </row>
    <row r="485" spans="1:16" x14ac:dyDescent="0.25">
      <c r="A485">
        <v>1645</v>
      </c>
      <c r="B485">
        <v>223</v>
      </c>
      <c r="C485" s="1">
        <v>45248</v>
      </c>
      <c r="D485">
        <v>167.55</v>
      </c>
      <c r="E485" t="s">
        <v>6</v>
      </c>
      <c r="F485" t="s">
        <v>19</v>
      </c>
      <c r="G485">
        <f>COUNTIF(Data[CustomerID], Data[[#This Row],[CustomerID]])</f>
        <v>1</v>
      </c>
      <c r="H485" s="1" t="str">
        <f>TEXT(Data[OrderDate],"yyyy-mmm")</f>
        <v>2023-Nov</v>
      </c>
      <c r="I485">
        <f>IF(
   COUNTIFS(
      Data[CustomerID], Data[[#This Row],[CustomerID]],
      Data[OrderDate], "&lt;" &amp; EOMONTH(Data[[#This Row],[OrderDate]], -1) + 1
   ) &gt; 0,
   1,
   0
)</f>
        <v>0</v>
      </c>
      <c r="J485">
        <f>YEAR(Data[[#This Row],[OrderDate]])</f>
        <v>2023</v>
      </c>
      <c r="K485" s="2">
        <f>MONTH(Data[[#This Row],[OrderDate]])</f>
        <v>11</v>
      </c>
      <c r="M485" s="12">
        <v>1610</v>
      </c>
      <c r="N485" s="21">
        <f>MAX(Data[OrderDate])-_xlfn.MAXIFS(Data[OrderDate],Data[CustomerID],M485)</f>
        <v>289</v>
      </c>
      <c r="O485" s="22">
        <f>COUNTIFS(Data[CustomerID], M485)</f>
        <v>1</v>
      </c>
      <c r="P485" s="23">
        <f>SUMIFS(Data[Amount], Data[CustomerID], M485)</f>
        <v>170.12</v>
      </c>
    </row>
    <row r="486" spans="1:16" x14ac:dyDescent="0.25">
      <c r="A486">
        <v>1884</v>
      </c>
      <c r="B486">
        <v>804</v>
      </c>
      <c r="C486" s="1">
        <v>45249</v>
      </c>
      <c r="D486">
        <v>398.02</v>
      </c>
      <c r="E486" t="s">
        <v>11</v>
      </c>
      <c r="F486" t="s">
        <v>19</v>
      </c>
      <c r="G486">
        <f>COUNTIF(Data[CustomerID], Data[[#This Row],[CustomerID]])</f>
        <v>2</v>
      </c>
      <c r="H486" s="1" t="str">
        <f>TEXT(Data[OrderDate],"yyyy-mmm")</f>
        <v>2023-Nov</v>
      </c>
      <c r="I486">
        <f>IF(
   COUNTIFS(
      Data[CustomerID], Data[[#This Row],[CustomerID]],
      Data[OrderDate], "&lt;" &amp; EOMONTH(Data[[#This Row],[OrderDate]], -1) + 1
   ) &gt; 0,
   1,
   0
)</f>
        <v>1</v>
      </c>
      <c r="J486">
        <f>YEAR(Data[[#This Row],[OrderDate]])</f>
        <v>2023</v>
      </c>
      <c r="K486" s="2">
        <f>MONTH(Data[[#This Row],[OrderDate]])</f>
        <v>11</v>
      </c>
      <c r="M486" s="12">
        <v>1812</v>
      </c>
      <c r="N486" s="21">
        <f>MAX(Data[OrderDate])-_xlfn.MAXIFS(Data[OrderDate],Data[CustomerID],M486)</f>
        <v>652</v>
      </c>
      <c r="O486" s="22">
        <f>COUNTIFS(Data[CustomerID], M486)</f>
        <v>1</v>
      </c>
      <c r="P486" s="23">
        <f>SUMIFS(Data[Amount], Data[CustomerID], M486)</f>
        <v>168.79</v>
      </c>
    </row>
    <row r="487" spans="1:16" x14ac:dyDescent="0.25">
      <c r="A487">
        <v>1953</v>
      </c>
      <c r="B487">
        <v>837</v>
      </c>
      <c r="C487" s="1">
        <v>45249</v>
      </c>
      <c r="D487">
        <v>159.61000000000001</v>
      </c>
      <c r="E487" t="s">
        <v>11</v>
      </c>
      <c r="F487" t="s">
        <v>18</v>
      </c>
      <c r="G487">
        <f>COUNTIF(Data[CustomerID], Data[[#This Row],[CustomerID]])</f>
        <v>1</v>
      </c>
      <c r="H487" s="1" t="str">
        <f>TEXT(Data[OrderDate],"yyyy-mmm")</f>
        <v>2023-Nov</v>
      </c>
      <c r="I487">
        <f>IF(
   COUNTIFS(
      Data[CustomerID], Data[[#This Row],[CustomerID]],
      Data[OrderDate], "&lt;" &amp; EOMONTH(Data[[#This Row],[OrderDate]], -1) + 1
   ) &gt; 0,
   1,
   0
)</f>
        <v>0</v>
      </c>
      <c r="J487">
        <f>YEAR(Data[[#This Row],[OrderDate]])</f>
        <v>2023</v>
      </c>
      <c r="K487" s="2">
        <f>MONTH(Data[[#This Row],[OrderDate]])</f>
        <v>11</v>
      </c>
      <c r="M487" s="12">
        <v>1501</v>
      </c>
      <c r="N487" s="21">
        <f>MAX(Data[OrderDate])-_xlfn.MAXIFS(Data[OrderDate],Data[CustomerID],M487)</f>
        <v>43</v>
      </c>
      <c r="O487" s="22">
        <f>COUNTIFS(Data[CustomerID], M487)</f>
        <v>1</v>
      </c>
      <c r="P487" s="23">
        <f>SUMIFS(Data[Amount], Data[CustomerID], M487)</f>
        <v>168.55</v>
      </c>
    </row>
    <row r="488" spans="1:16" x14ac:dyDescent="0.25">
      <c r="A488">
        <v>1414</v>
      </c>
      <c r="B488">
        <v>357</v>
      </c>
      <c r="C488" s="1">
        <v>45250</v>
      </c>
      <c r="D488">
        <v>184.66</v>
      </c>
      <c r="E488" t="s">
        <v>17</v>
      </c>
      <c r="F488" t="s">
        <v>7</v>
      </c>
      <c r="G488">
        <f>COUNTIF(Data[CustomerID], Data[[#This Row],[CustomerID]])</f>
        <v>3</v>
      </c>
      <c r="H488" s="1" t="str">
        <f>TEXT(Data[OrderDate],"yyyy-mmm")</f>
        <v>2023-Nov</v>
      </c>
      <c r="I488">
        <f>IF(
   COUNTIFS(
      Data[CustomerID], Data[[#This Row],[CustomerID]],
      Data[OrderDate], "&lt;" &amp; EOMONTH(Data[[#This Row],[OrderDate]], -1) + 1
   ) &gt; 0,
   1,
   0
)</f>
        <v>1</v>
      </c>
      <c r="J488">
        <f>YEAR(Data[[#This Row],[OrderDate]])</f>
        <v>2023</v>
      </c>
      <c r="K488" s="2">
        <f>MONTH(Data[[#This Row],[OrderDate]])</f>
        <v>11</v>
      </c>
      <c r="M488" s="12">
        <v>1840</v>
      </c>
      <c r="N488" s="21">
        <f>MAX(Data[OrderDate])-_xlfn.MAXIFS(Data[OrderDate],Data[CustomerID],M488)</f>
        <v>278</v>
      </c>
      <c r="O488" s="22">
        <f>COUNTIFS(Data[CustomerID], M488)</f>
        <v>1</v>
      </c>
      <c r="P488" s="23">
        <f>SUMIFS(Data[Amount], Data[CustomerID], M488)</f>
        <v>167.86</v>
      </c>
    </row>
    <row r="489" spans="1:16" x14ac:dyDescent="0.25">
      <c r="A489">
        <v>1053</v>
      </c>
      <c r="B489">
        <v>385</v>
      </c>
      <c r="C489" s="1">
        <v>45250</v>
      </c>
      <c r="D489">
        <v>433.02</v>
      </c>
      <c r="E489" t="s">
        <v>17</v>
      </c>
      <c r="F489" t="s">
        <v>16</v>
      </c>
      <c r="G489">
        <f>COUNTIF(Data[CustomerID], Data[[#This Row],[CustomerID]])</f>
        <v>2</v>
      </c>
      <c r="H489" s="1" t="str">
        <f>TEXT(Data[OrderDate],"yyyy-mmm")</f>
        <v>2023-Nov</v>
      </c>
      <c r="I489">
        <f>IF(
   COUNTIFS(
      Data[CustomerID], Data[[#This Row],[CustomerID]],
      Data[OrderDate], "&lt;" &amp; EOMONTH(Data[[#This Row],[OrderDate]], -1) + 1
   ) &gt; 0,
   1,
   0
)</f>
        <v>1</v>
      </c>
      <c r="J489">
        <f>YEAR(Data[[#This Row],[OrderDate]])</f>
        <v>2023</v>
      </c>
      <c r="K489" s="2">
        <f>MONTH(Data[[#This Row],[OrderDate]])</f>
        <v>11</v>
      </c>
      <c r="M489" s="12">
        <v>1645</v>
      </c>
      <c r="N489" s="21">
        <f>MAX(Data[OrderDate])-_xlfn.MAXIFS(Data[OrderDate],Data[CustomerID],M489)</f>
        <v>378</v>
      </c>
      <c r="O489" s="22">
        <f>COUNTIFS(Data[CustomerID], M489)</f>
        <v>1</v>
      </c>
      <c r="P489" s="23">
        <f>SUMIFS(Data[Amount], Data[CustomerID], M489)</f>
        <v>167.55</v>
      </c>
    </row>
    <row r="490" spans="1:16" x14ac:dyDescent="0.25">
      <c r="A490">
        <v>1419</v>
      </c>
      <c r="B490">
        <v>745</v>
      </c>
      <c r="C490" s="1">
        <v>45250</v>
      </c>
      <c r="D490">
        <v>217.3</v>
      </c>
      <c r="E490" t="s">
        <v>11</v>
      </c>
      <c r="F490" t="s">
        <v>7</v>
      </c>
      <c r="G490">
        <f>COUNTIF(Data[CustomerID], Data[[#This Row],[CustomerID]])</f>
        <v>2</v>
      </c>
      <c r="H490" s="1" t="str">
        <f>TEXT(Data[OrderDate],"yyyy-mmm")</f>
        <v>2023-Nov</v>
      </c>
      <c r="I490">
        <f>IF(
   COUNTIFS(
      Data[CustomerID], Data[[#This Row],[CustomerID]],
      Data[OrderDate], "&lt;" &amp; EOMONTH(Data[[#This Row],[OrderDate]], -1) + 1
   ) &gt; 0,
   1,
   0
)</f>
        <v>0</v>
      </c>
      <c r="J490">
        <f>YEAR(Data[[#This Row],[OrderDate]])</f>
        <v>2023</v>
      </c>
      <c r="K490" s="2">
        <f>MONTH(Data[[#This Row],[OrderDate]])</f>
        <v>11</v>
      </c>
      <c r="M490" s="12">
        <v>1103</v>
      </c>
      <c r="N490" s="21">
        <f>MAX(Data[OrderDate])-_xlfn.MAXIFS(Data[OrderDate],Data[CustomerID],M490)</f>
        <v>403</v>
      </c>
      <c r="O490" s="22">
        <f>COUNTIFS(Data[CustomerID], M490)</f>
        <v>2</v>
      </c>
      <c r="P490" s="23">
        <f>SUMIFS(Data[Amount], Data[CustomerID], M490)</f>
        <v>166.16</v>
      </c>
    </row>
    <row r="491" spans="1:16" x14ac:dyDescent="0.25">
      <c r="A491">
        <v>1928</v>
      </c>
      <c r="B491">
        <v>909</v>
      </c>
      <c r="C491" s="1">
        <v>45250</v>
      </c>
      <c r="D491">
        <v>160.88999999999999</v>
      </c>
      <c r="E491" t="s">
        <v>11</v>
      </c>
      <c r="F491" t="s">
        <v>10</v>
      </c>
      <c r="G491">
        <f>COUNTIF(Data[CustomerID], Data[[#This Row],[CustomerID]])</f>
        <v>5</v>
      </c>
      <c r="H491" s="1" t="str">
        <f>TEXT(Data[OrderDate],"yyyy-mmm")</f>
        <v>2023-Nov</v>
      </c>
      <c r="I491">
        <f>IF(
   COUNTIFS(
      Data[CustomerID], Data[[#This Row],[CustomerID]],
      Data[OrderDate], "&lt;" &amp; EOMONTH(Data[[#This Row],[OrderDate]], -1) + 1
   ) &gt; 0,
   1,
   0
)</f>
        <v>1</v>
      </c>
      <c r="J491">
        <f>YEAR(Data[[#This Row],[OrderDate]])</f>
        <v>2023</v>
      </c>
      <c r="K491" s="2">
        <f>MONTH(Data[[#This Row],[OrderDate]])</f>
        <v>11</v>
      </c>
      <c r="M491" s="12">
        <v>1982</v>
      </c>
      <c r="N491" s="21">
        <f>MAX(Data[OrderDate])-_xlfn.MAXIFS(Data[OrderDate],Data[CustomerID],M491)</f>
        <v>387</v>
      </c>
      <c r="O491" s="22">
        <f>COUNTIFS(Data[CustomerID], M491)</f>
        <v>1</v>
      </c>
      <c r="P491" s="23">
        <f>SUMIFS(Data[Amount], Data[CustomerID], M491)</f>
        <v>165.13</v>
      </c>
    </row>
    <row r="492" spans="1:16" x14ac:dyDescent="0.25">
      <c r="A492">
        <v>1376</v>
      </c>
      <c r="B492">
        <v>240</v>
      </c>
      <c r="C492" s="1">
        <v>45252</v>
      </c>
      <c r="D492">
        <v>424.35</v>
      </c>
      <c r="E492" t="s">
        <v>9</v>
      </c>
      <c r="F492" t="s">
        <v>19</v>
      </c>
      <c r="G492">
        <f>COUNTIF(Data[CustomerID], Data[[#This Row],[CustomerID]])</f>
        <v>1</v>
      </c>
      <c r="H492" s="1" t="str">
        <f>TEXT(Data[OrderDate],"yyyy-mmm")</f>
        <v>2023-Nov</v>
      </c>
      <c r="I492">
        <f>IF(
   COUNTIFS(
      Data[CustomerID], Data[[#This Row],[CustomerID]],
      Data[OrderDate], "&lt;" &amp; EOMONTH(Data[[#This Row],[OrderDate]], -1) + 1
   ) &gt; 0,
   1,
   0
)</f>
        <v>0</v>
      </c>
      <c r="J492">
        <f>YEAR(Data[[#This Row],[OrderDate]])</f>
        <v>2023</v>
      </c>
      <c r="K492" s="2">
        <f>MONTH(Data[[#This Row],[OrderDate]])</f>
        <v>11</v>
      </c>
      <c r="M492" s="12">
        <v>1905</v>
      </c>
      <c r="N492" s="21">
        <f>MAX(Data[OrderDate])-_xlfn.MAXIFS(Data[OrderDate],Data[CustomerID],M492)</f>
        <v>309</v>
      </c>
      <c r="O492" s="22">
        <f>COUNTIFS(Data[CustomerID], M492)</f>
        <v>1</v>
      </c>
      <c r="P492" s="23">
        <f>SUMIFS(Data[Amount], Data[CustomerID], M492)</f>
        <v>164.44</v>
      </c>
    </row>
    <row r="493" spans="1:16" x14ac:dyDescent="0.25">
      <c r="A493">
        <v>1455</v>
      </c>
      <c r="B493">
        <v>893</v>
      </c>
      <c r="C493" s="1">
        <v>45252</v>
      </c>
      <c r="D493">
        <v>48.15</v>
      </c>
      <c r="E493" t="s">
        <v>20</v>
      </c>
      <c r="F493" t="s">
        <v>10</v>
      </c>
      <c r="G493">
        <f>COUNTIF(Data[CustomerID], Data[[#This Row],[CustomerID]])</f>
        <v>3</v>
      </c>
      <c r="H493" s="1" t="str">
        <f>TEXT(Data[OrderDate],"yyyy-mmm")</f>
        <v>2023-Nov</v>
      </c>
      <c r="I493">
        <f>IF(
   COUNTIFS(
      Data[CustomerID], Data[[#This Row],[CustomerID]],
      Data[OrderDate], "&lt;" &amp; EOMONTH(Data[[#This Row],[OrderDate]], -1) + 1
   ) &gt; 0,
   1,
   0
)</f>
        <v>0</v>
      </c>
      <c r="J493">
        <f>YEAR(Data[[#This Row],[OrderDate]])</f>
        <v>2023</v>
      </c>
      <c r="K493" s="2">
        <f>MONTH(Data[[#This Row],[OrderDate]])</f>
        <v>11</v>
      </c>
      <c r="M493" s="12">
        <v>1577</v>
      </c>
      <c r="N493" s="21">
        <f>MAX(Data[OrderDate])-_xlfn.MAXIFS(Data[OrderDate],Data[CustomerID],M493)</f>
        <v>660</v>
      </c>
      <c r="O493" s="22">
        <f>COUNTIFS(Data[CustomerID], M493)</f>
        <v>1</v>
      </c>
      <c r="P493" s="23">
        <f>SUMIFS(Data[Amount], Data[CustomerID], M493)</f>
        <v>162.01</v>
      </c>
    </row>
    <row r="494" spans="1:16" x14ac:dyDescent="0.25">
      <c r="A494">
        <v>1283</v>
      </c>
      <c r="B494">
        <v>452</v>
      </c>
      <c r="C494" s="1">
        <v>45253</v>
      </c>
      <c r="D494">
        <v>99.93</v>
      </c>
      <c r="E494" t="s">
        <v>15</v>
      </c>
      <c r="F494" t="s">
        <v>14</v>
      </c>
      <c r="G494">
        <f>COUNTIF(Data[CustomerID], Data[[#This Row],[CustomerID]])</f>
        <v>1</v>
      </c>
      <c r="H494" s="1" t="str">
        <f>TEXT(Data[OrderDate],"yyyy-mmm")</f>
        <v>2023-Nov</v>
      </c>
      <c r="I494">
        <f>IF(
   COUNTIFS(
      Data[CustomerID], Data[[#This Row],[CustomerID]],
      Data[OrderDate], "&lt;" &amp; EOMONTH(Data[[#This Row],[OrderDate]], -1) + 1
   ) &gt; 0,
   1,
   0
)</f>
        <v>0</v>
      </c>
      <c r="J494">
        <f>YEAR(Data[[#This Row],[OrderDate]])</f>
        <v>2023</v>
      </c>
      <c r="K494" s="2">
        <f>MONTH(Data[[#This Row],[OrderDate]])</f>
        <v>11</v>
      </c>
      <c r="M494" s="12">
        <v>1953</v>
      </c>
      <c r="N494" s="21">
        <f>MAX(Data[OrderDate])-_xlfn.MAXIFS(Data[OrderDate],Data[CustomerID],M494)</f>
        <v>377</v>
      </c>
      <c r="O494" s="22">
        <f>COUNTIFS(Data[CustomerID], M494)</f>
        <v>1</v>
      </c>
      <c r="P494" s="23">
        <f>SUMIFS(Data[Amount], Data[CustomerID], M494)</f>
        <v>159.61000000000001</v>
      </c>
    </row>
    <row r="495" spans="1:16" x14ac:dyDescent="0.25">
      <c r="A495">
        <v>1255</v>
      </c>
      <c r="B495">
        <v>493</v>
      </c>
      <c r="C495" s="1">
        <v>45254</v>
      </c>
      <c r="D495">
        <v>316.5</v>
      </c>
      <c r="E495" t="s">
        <v>17</v>
      </c>
      <c r="F495" t="s">
        <v>14</v>
      </c>
      <c r="G495">
        <f>COUNTIF(Data[CustomerID], Data[[#This Row],[CustomerID]])</f>
        <v>2</v>
      </c>
      <c r="H495" s="1" t="str">
        <f>TEXT(Data[OrderDate],"yyyy-mmm")</f>
        <v>2023-Nov</v>
      </c>
      <c r="I495">
        <f>IF(
   COUNTIFS(
      Data[CustomerID], Data[[#This Row],[CustomerID]],
      Data[OrderDate], "&lt;" &amp; EOMONTH(Data[[#This Row],[OrderDate]], -1) + 1
   ) &gt; 0,
   1,
   0
)</f>
        <v>1</v>
      </c>
      <c r="J495">
        <f>YEAR(Data[[#This Row],[OrderDate]])</f>
        <v>2023</v>
      </c>
      <c r="K495" s="2">
        <f>MONTH(Data[[#This Row],[OrderDate]])</f>
        <v>11</v>
      </c>
      <c r="M495" s="12">
        <v>1197</v>
      </c>
      <c r="N495" s="21">
        <f>MAX(Data[OrderDate])-_xlfn.MAXIFS(Data[OrderDate],Data[CustomerID],M495)</f>
        <v>84</v>
      </c>
      <c r="O495" s="22">
        <f>COUNTIFS(Data[CustomerID], M495)</f>
        <v>1</v>
      </c>
      <c r="P495" s="23">
        <f>SUMIFS(Data[Amount], Data[CustomerID], M495)</f>
        <v>159.57</v>
      </c>
    </row>
    <row r="496" spans="1:16" x14ac:dyDescent="0.25">
      <c r="A496">
        <v>1041</v>
      </c>
      <c r="B496">
        <v>820</v>
      </c>
      <c r="C496" s="1">
        <v>45254</v>
      </c>
      <c r="D496">
        <v>278.49</v>
      </c>
      <c r="E496" t="s">
        <v>11</v>
      </c>
      <c r="F496" t="s">
        <v>12</v>
      </c>
      <c r="G496">
        <f>COUNTIF(Data[CustomerID], Data[[#This Row],[CustomerID]])</f>
        <v>1</v>
      </c>
      <c r="H496" s="1" t="str">
        <f>TEXT(Data[OrderDate],"yyyy-mmm")</f>
        <v>2023-Nov</v>
      </c>
      <c r="I496">
        <f>IF(
   COUNTIFS(
      Data[CustomerID], Data[[#This Row],[CustomerID]],
      Data[OrderDate], "&lt;" &amp; EOMONTH(Data[[#This Row],[OrderDate]], -1) + 1
   ) &gt; 0,
   1,
   0
)</f>
        <v>0</v>
      </c>
      <c r="J496">
        <f>YEAR(Data[[#This Row],[OrderDate]])</f>
        <v>2023</v>
      </c>
      <c r="K496" s="2">
        <f>MONTH(Data[[#This Row],[OrderDate]])</f>
        <v>11</v>
      </c>
      <c r="M496" s="12">
        <v>1987</v>
      </c>
      <c r="N496" s="21">
        <f>MAX(Data[OrderDate])-_xlfn.MAXIFS(Data[OrderDate],Data[CustomerID],M496)</f>
        <v>85</v>
      </c>
      <c r="O496" s="22">
        <f>COUNTIFS(Data[CustomerID], M496)</f>
        <v>2</v>
      </c>
      <c r="P496" s="23">
        <f>SUMIFS(Data[Amount], Data[CustomerID], M496)</f>
        <v>155.22</v>
      </c>
    </row>
    <row r="497" spans="1:16" x14ac:dyDescent="0.25">
      <c r="A497">
        <v>1829</v>
      </c>
      <c r="B497">
        <v>269</v>
      </c>
      <c r="C497" s="1">
        <v>45255</v>
      </c>
      <c r="D497">
        <v>292.56</v>
      </c>
      <c r="E497" t="s">
        <v>20</v>
      </c>
      <c r="F497" t="s">
        <v>7</v>
      </c>
      <c r="G497">
        <f>COUNTIF(Data[CustomerID], Data[[#This Row],[CustomerID]])</f>
        <v>2</v>
      </c>
      <c r="H497" s="1" t="str">
        <f>TEXT(Data[OrderDate],"yyyy-mmm")</f>
        <v>2023-Nov</v>
      </c>
      <c r="I497">
        <f>IF(
   COUNTIFS(
      Data[CustomerID], Data[[#This Row],[CustomerID]],
      Data[OrderDate], "&lt;" &amp; EOMONTH(Data[[#This Row],[OrderDate]], -1) + 1
   ) &gt; 0,
   1,
   0
)</f>
        <v>0</v>
      </c>
      <c r="J497">
        <f>YEAR(Data[[#This Row],[OrderDate]])</f>
        <v>2023</v>
      </c>
      <c r="K497" s="2">
        <f>MONTH(Data[[#This Row],[OrderDate]])</f>
        <v>11</v>
      </c>
      <c r="M497" s="12">
        <v>1415</v>
      </c>
      <c r="N497" s="21">
        <f>MAX(Data[OrderDate])-_xlfn.MAXIFS(Data[OrderDate],Data[CustomerID],M497)</f>
        <v>404</v>
      </c>
      <c r="O497" s="22">
        <f>COUNTIFS(Data[CustomerID], M497)</f>
        <v>1</v>
      </c>
      <c r="P497" s="23">
        <f>SUMIFS(Data[Amount], Data[CustomerID], M497)</f>
        <v>154.52000000000001</v>
      </c>
    </row>
    <row r="498" spans="1:16" x14ac:dyDescent="0.25">
      <c r="A498">
        <v>1383</v>
      </c>
      <c r="B498">
        <v>798</v>
      </c>
      <c r="C498" s="1">
        <v>45255</v>
      </c>
      <c r="D498">
        <v>375.9</v>
      </c>
      <c r="E498" t="s">
        <v>6</v>
      </c>
      <c r="F498" t="s">
        <v>18</v>
      </c>
      <c r="G498">
        <f>COUNTIF(Data[CustomerID], Data[[#This Row],[CustomerID]])</f>
        <v>1</v>
      </c>
      <c r="H498" s="1" t="str">
        <f>TEXT(Data[OrderDate],"yyyy-mmm")</f>
        <v>2023-Nov</v>
      </c>
      <c r="I498">
        <f>IF(
   COUNTIFS(
      Data[CustomerID], Data[[#This Row],[CustomerID]],
      Data[OrderDate], "&lt;" &amp; EOMONTH(Data[[#This Row],[OrderDate]], -1) + 1
   ) &gt; 0,
   1,
   0
)</f>
        <v>0</v>
      </c>
      <c r="J498">
        <f>YEAR(Data[[#This Row],[OrderDate]])</f>
        <v>2023</v>
      </c>
      <c r="K498" s="2">
        <f>MONTH(Data[[#This Row],[OrderDate]])</f>
        <v>11</v>
      </c>
      <c r="M498" s="12">
        <v>1713</v>
      </c>
      <c r="N498" s="21">
        <f>MAX(Data[OrderDate])-_xlfn.MAXIFS(Data[OrderDate],Data[CustomerID],M498)</f>
        <v>405</v>
      </c>
      <c r="O498" s="22">
        <f>COUNTIFS(Data[CustomerID], M498)</f>
        <v>1</v>
      </c>
      <c r="P498" s="23">
        <f>SUMIFS(Data[Amount], Data[CustomerID], M498)</f>
        <v>151.76</v>
      </c>
    </row>
    <row r="499" spans="1:16" x14ac:dyDescent="0.25">
      <c r="A499">
        <v>1775</v>
      </c>
      <c r="B499">
        <v>82</v>
      </c>
      <c r="C499" s="1">
        <v>45256</v>
      </c>
      <c r="D499">
        <v>480.59</v>
      </c>
      <c r="E499" t="s">
        <v>13</v>
      </c>
      <c r="F499" t="s">
        <v>19</v>
      </c>
      <c r="G499">
        <f>COUNTIF(Data[CustomerID], Data[[#This Row],[CustomerID]])</f>
        <v>4</v>
      </c>
      <c r="H499" s="1" t="str">
        <f>TEXT(Data[OrderDate],"yyyy-mmm")</f>
        <v>2023-Nov</v>
      </c>
      <c r="I499">
        <f>IF(
   COUNTIFS(
      Data[CustomerID], Data[[#This Row],[CustomerID]],
      Data[OrderDate], "&lt;" &amp; EOMONTH(Data[[#This Row],[OrderDate]], -1) + 1
   ) &gt; 0,
   1,
   0
)</f>
        <v>1</v>
      </c>
      <c r="J499">
        <f>YEAR(Data[[#This Row],[OrderDate]])</f>
        <v>2023</v>
      </c>
      <c r="K499" s="2">
        <f>MONTH(Data[[#This Row],[OrderDate]])</f>
        <v>11</v>
      </c>
      <c r="M499" s="12">
        <v>1401</v>
      </c>
      <c r="N499" s="21">
        <f>MAX(Data[OrderDate])-_xlfn.MAXIFS(Data[OrderDate],Data[CustomerID],M499)</f>
        <v>130</v>
      </c>
      <c r="O499" s="22">
        <f>COUNTIFS(Data[CustomerID], M499)</f>
        <v>2</v>
      </c>
      <c r="P499" s="23">
        <f>SUMIFS(Data[Amount], Data[CustomerID], M499)</f>
        <v>150.6</v>
      </c>
    </row>
    <row r="500" spans="1:16" x14ac:dyDescent="0.25">
      <c r="A500">
        <v>1985</v>
      </c>
      <c r="B500">
        <v>515</v>
      </c>
      <c r="C500" s="1">
        <v>45256</v>
      </c>
      <c r="D500">
        <v>471.7</v>
      </c>
      <c r="E500" t="s">
        <v>13</v>
      </c>
      <c r="F500" t="s">
        <v>14</v>
      </c>
      <c r="G500">
        <f>COUNTIF(Data[CustomerID], Data[[#This Row],[CustomerID]])</f>
        <v>1</v>
      </c>
      <c r="H500" s="1" t="str">
        <f>TEXT(Data[OrderDate],"yyyy-mmm")</f>
        <v>2023-Nov</v>
      </c>
      <c r="I500">
        <f>IF(
   COUNTIFS(
      Data[CustomerID], Data[[#This Row],[CustomerID]],
      Data[OrderDate], "&lt;" &amp; EOMONTH(Data[[#This Row],[OrderDate]], -1) + 1
   ) &gt; 0,
   1,
   0
)</f>
        <v>0</v>
      </c>
      <c r="J500">
        <f>YEAR(Data[[#This Row],[OrderDate]])</f>
        <v>2023</v>
      </c>
      <c r="K500" s="2">
        <f>MONTH(Data[[#This Row],[OrderDate]])</f>
        <v>11</v>
      </c>
      <c r="M500" s="12">
        <v>1004</v>
      </c>
      <c r="N500" s="21">
        <f>MAX(Data[OrderDate])-_xlfn.MAXIFS(Data[OrderDate],Data[CustomerID],M500)</f>
        <v>633</v>
      </c>
      <c r="O500" s="22">
        <f>COUNTIFS(Data[CustomerID], M500)</f>
        <v>2</v>
      </c>
      <c r="P500" s="23">
        <f>SUMIFS(Data[Amount], Data[CustomerID], M500)</f>
        <v>150.26</v>
      </c>
    </row>
    <row r="501" spans="1:16" x14ac:dyDescent="0.25">
      <c r="A501">
        <v>1068</v>
      </c>
      <c r="B501">
        <v>650</v>
      </c>
      <c r="C501" s="1">
        <v>45256</v>
      </c>
      <c r="D501">
        <v>237.81</v>
      </c>
      <c r="E501" t="s">
        <v>9</v>
      </c>
      <c r="F501" t="s">
        <v>14</v>
      </c>
      <c r="G501">
        <f>COUNTIF(Data[CustomerID], Data[[#This Row],[CustomerID]])</f>
        <v>2</v>
      </c>
      <c r="H501" s="1" t="str">
        <f>TEXT(Data[OrderDate],"yyyy-mmm")</f>
        <v>2023-Nov</v>
      </c>
      <c r="I501">
        <f>IF(
   COUNTIFS(
      Data[CustomerID], Data[[#This Row],[CustomerID]],
      Data[OrderDate], "&lt;" &amp; EOMONTH(Data[[#This Row],[OrderDate]], -1) + 1
   ) &gt; 0,
   1,
   0
)</f>
        <v>0</v>
      </c>
      <c r="J501">
        <f>YEAR(Data[[#This Row],[OrderDate]])</f>
        <v>2023</v>
      </c>
      <c r="K501" s="2">
        <f>MONTH(Data[[#This Row],[OrderDate]])</f>
        <v>11</v>
      </c>
      <c r="M501" s="12">
        <v>1571</v>
      </c>
      <c r="N501" s="21">
        <f>MAX(Data[OrderDate])-_xlfn.MAXIFS(Data[OrderDate],Data[CustomerID],M501)</f>
        <v>40</v>
      </c>
      <c r="O501" s="22">
        <f>COUNTIFS(Data[CustomerID], M501)</f>
        <v>2</v>
      </c>
      <c r="P501" s="23">
        <f>SUMIFS(Data[Amount], Data[CustomerID], M501)</f>
        <v>149.24</v>
      </c>
    </row>
    <row r="502" spans="1:16" x14ac:dyDescent="0.25">
      <c r="A502">
        <v>1872</v>
      </c>
      <c r="B502">
        <v>774</v>
      </c>
      <c r="C502" s="1">
        <v>45256</v>
      </c>
      <c r="D502">
        <v>483.84</v>
      </c>
      <c r="E502" t="s">
        <v>17</v>
      </c>
      <c r="F502" t="s">
        <v>10</v>
      </c>
      <c r="G502">
        <f>COUNTIF(Data[CustomerID], Data[[#This Row],[CustomerID]])</f>
        <v>1</v>
      </c>
      <c r="H502" s="1" t="str">
        <f>TEXT(Data[OrderDate],"yyyy-mmm")</f>
        <v>2023-Nov</v>
      </c>
      <c r="I502">
        <f>IF(
   COUNTIFS(
      Data[CustomerID], Data[[#This Row],[CustomerID]],
      Data[OrderDate], "&lt;" &amp; EOMONTH(Data[[#This Row],[OrderDate]], -1) + 1
   ) &gt; 0,
   1,
   0
)</f>
        <v>0</v>
      </c>
      <c r="J502">
        <f>YEAR(Data[[#This Row],[OrderDate]])</f>
        <v>2023</v>
      </c>
      <c r="K502" s="2">
        <f>MONTH(Data[[#This Row],[OrderDate]])</f>
        <v>11</v>
      </c>
      <c r="M502" s="12">
        <v>1814</v>
      </c>
      <c r="N502" s="21">
        <f>MAX(Data[OrderDate])-_xlfn.MAXIFS(Data[OrderDate],Data[CustomerID],M502)</f>
        <v>427</v>
      </c>
      <c r="O502" s="22">
        <f>COUNTIFS(Data[CustomerID], M502)</f>
        <v>2</v>
      </c>
      <c r="P502" s="23">
        <f>SUMIFS(Data[Amount], Data[CustomerID], M502)</f>
        <v>148.71</v>
      </c>
    </row>
    <row r="503" spans="1:16" x14ac:dyDescent="0.25">
      <c r="A503">
        <v>1947</v>
      </c>
      <c r="B503">
        <v>809</v>
      </c>
      <c r="C503" s="1">
        <v>45258</v>
      </c>
      <c r="D503">
        <v>380.42</v>
      </c>
      <c r="E503" t="s">
        <v>17</v>
      </c>
      <c r="F503" t="s">
        <v>19</v>
      </c>
      <c r="G503">
        <f>COUNTIF(Data[CustomerID], Data[[#This Row],[CustomerID]])</f>
        <v>1</v>
      </c>
      <c r="H503" s="1" t="str">
        <f>TEXT(Data[OrderDate],"yyyy-mmm")</f>
        <v>2023-Nov</v>
      </c>
      <c r="I503">
        <f>IF(
   COUNTIFS(
      Data[CustomerID], Data[[#This Row],[CustomerID]],
      Data[OrderDate], "&lt;" &amp; EOMONTH(Data[[#This Row],[OrderDate]], -1) + 1
   ) &gt; 0,
   1,
   0
)</f>
        <v>0</v>
      </c>
      <c r="J503">
        <f>YEAR(Data[[#This Row],[OrderDate]])</f>
        <v>2023</v>
      </c>
      <c r="K503" s="2">
        <f>MONTH(Data[[#This Row],[OrderDate]])</f>
        <v>11</v>
      </c>
      <c r="M503" s="12">
        <v>1021</v>
      </c>
      <c r="N503" s="21">
        <f>MAX(Data[OrderDate])-_xlfn.MAXIFS(Data[OrderDate],Data[CustomerID],M503)</f>
        <v>15</v>
      </c>
      <c r="O503" s="22">
        <f>COUNTIFS(Data[CustomerID], M503)</f>
        <v>2</v>
      </c>
      <c r="P503" s="23">
        <f>SUMIFS(Data[Amount], Data[CustomerID], M503)</f>
        <v>145.5</v>
      </c>
    </row>
    <row r="504" spans="1:16" x14ac:dyDescent="0.25">
      <c r="A504">
        <v>1386</v>
      </c>
      <c r="B504">
        <v>277</v>
      </c>
      <c r="C504" s="1">
        <v>45260</v>
      </c>
      <c r="D504">
        <v>430.41</v>
      </c>
      <c r="E504" t="s">
        <v>6</v>
      </c>
      <c r="F504" t="s">
        <v>10</v>
      </c>
      <c r="G504">
        <f>COUNTIF(Data[CustomerID], Data[[#This Row],[CustomerID]])</f>
        <v>2</v>
      </c>
      <c r="H504" s="1" t="str">
        <f>TEXT(Data[OrderDate],"yyyy-mmm")</f>
        <v>2023-Nov</v>
      </c>
      <c r="I504">
        <f>IF(
   COUNTIFS(
      Data[CustomerID], Data[[#This Row],[CustomerID]],
      Data[OrderDate], "&lt;" &amp; EOMONTH(Data[[#This Row],[OrderDate]], -1) + 1
   ) &gt; 0,
   1,
   0
)</f>
        <v>1</v>
      </c>
      <c r="J504">
        <f>YEAR(Data[[#This Row],[OrderDate]])</f>
        <v>2023</v>
      </c>
      <c r="K504" s="2">
        <f>MONTH(Data[[#This Row],[OrderDate]])</f>
        <v>11</v>
      </c>
      <c r="M504" s="12">
        <v>1437</v>
      </c>
      <c r="N504" s="21">
        <f>MAX(Data[OrderDate])-_xlfn.MAXIFS(Data[OrderDate],Data[CustomerID],M504)</f>
        <v>11</v>
      </c>
      <c r="O504" s="22">
        <f>COUNTIFS(Data[CustomerID], M504)</f>
        <v>1</v>
      </c>
      <c r="P504" s="23">
        <f>SUMIFS(Data[Amount], Data[CustomerID], M504)</f>
        <v>142.49</v>
      </c>
    </row>
    <row r="505" spans="1:16" x14ac:dyDescent="0.25">
      <c r="A505">
        <v>1387</v>
      </c>
      <c r="B505">
        <v>66</v>
      </c>
      <c r="C505" s="1">
        <v>45261</v>
      </c>
      <c r="D505">
        <v>436.56</v>
      </c>
      <c r="E505" t="s">
        <v>13</v>
      </c>
      <c r="F505" t="s">
        <v>16</v>
      </c>
      <c r="G505">
        <f>COUNTIF(Data[CustomerID], Data[[#This Row],[CustomerID]])</f>
        <v>2</v>
      </c>
      <c r="H505" s="1" t="str">
        <f>TEXT(Data[OrderDate],"yyyy-mmm")</f>
        <v>2023-Dec</v>
      </c>
      <c r="I505">
        <f>IF(
   COUNTIFS(
      Data[CustomerID], Data[[#This Row],[CustomerID]],
      Data[OrderDate], "&lt;" &amp; EOMONTH(Data[[#This Row],[OrderDate]], -1) + 1
   ) &gt; 0,
   1,
   0
)</f>
        <v>1</v>
      </c>
      <c r="J505">
        <f>YEAR(Data[[#This Row],[OrderDate]])</f>
        <v>2023</v>
      </c>
      <c r="K505" s="2">
        <f>MONTH(Data[[#This Row],[OrderDate]])</f>
        <v>12</v>
      </c>
      <c r="M505" s="12">
        <v>1073</v>
      </c>
      <c r="N505" s="21">
        <f>MAX(Data[OrderDate])-_xlfn.MAXIFS(Data[OrderDate],Data[CustomerID],M505)</f>
        <v>2</v>
      </c>
      <c r="O505" s="22">
        <f>COUNTIFS(Data[CustomerID], M505)</f>
        <v>1</v>
      </c>
      <c r="P505" s="23">
        <f>SUMIFS(Data[Amount], Data[CustomerID], M505)</f>
        <v>141.84</v>
      </c>
    </row>
    <row r="506" spans="1:16" x14ac:dyDescent="0.25">
      <c r="A506">
        <v>1564</v>
      </c>
      <c r="B506">
        <v>73</v>
      </c>
      <c r="C506" s="1">
        <v>45261</v>
      </c>
      <c r="D506">
        <v>273.52999999999997</v>
      </c>
      <c r="E506" t="s">
        <v>9</v>
      </c>
      <c r="F506" t="s">
        <v>19</v>
      </c>
      <c r="G506">
        <f>COUNTIF(Data[CustomerID], Data[[#This Row],[CustomerID]])</f>
        <v>2</v>
      </c>
      <c r="H506" s="1" t="str">
        <f>TEXT(Data[OrderDate],"yyyy-mmm")</f>
        <v>2023-Dec</v>
      </c>
      <c r="I506">
        <f>IF(
   COUNTIFS(
      Data[CustomerID], Data[[#This Row],[CustomerID]],
      Data[OrderDate], "&lt;" &amp; EOMONTH(Data[[#This Row],[OrderDate]], -1) + 1
   ) &gt; 0,
   1,
   0
)</f>
        <v>1</v>
      </c>
      <c r="J506">
        <f>YEAR(Data[[#This Row],[OrderDate]])</f>
        <v>2023</v>
      </c>
      <c r="K506" s="2">
        <f>MONTH(Data[[#This Row],[OrderDate]])</f>
        <v>12</v>
      </c>
      <c r="M506" s="12">
        <v>1123</v>
      </c>
      <c r="N506" s="21">
        <f>MAX(Data[OrderDate])-_xlfn.MAXIFS(Data[OrderDate],Data[CustomerID],M506)</f>
        <v>146</v>
      </c>
      <c r="O506" s="22">
        <f>COUNTIFS(Data[CustomerID], M506)</f>
        <v>1</v>
      </c>
      <c r="P506" s="23">
        <f>SUMIFS(Data[Amount], Data[CustomerID], M506)</f>
        <v>140.9</v>
      </c>
    </row>
    <row r="507" spans="1:16" x14ac:dyDescent="0.25">
      <c r="A507">
        <v>1761</v>
      </c>
      <c r="B507">
        <v>678</v>
      </c>
      <c r="C507" s="1">
        <v>45261</v>
      </c>
      <c r="D507">
        <v>320.06</v>
      </c>
      <c r="E507" t="s">
        <v>8</v>
      </c>
      <c r="F507" t="s">
        <v>10</v>
      </c>
      <c r="G507">
        <f>COUNTIF(Data[CustomerID], Data[[#This Row],[CustomerID]])</f>
        <v>2</v>
      </c>
      <c r="H507" s="1" t="str">
        <f>TEXT(Data[OrderDate],"yyyy-mmm")</f>
        <v>2023-Dec</v>
      </c>
      <c r="I507">
        <f>IF(
   COUNTIFS(
      Data[CustomerID], Data[[#This Row],[CustomerID]],
      Data[OrderDate], "&lt;" &amp; EOMONTH(Data[[#This Row],[OrderDate]], -1) + 1
   ) &gt; 0,
   1,
   0
)</f>
        <v>0</v>
      </c>
      <c r="J507">
        <f>YEAR(Data[[#This Row],[OrderDate]])</f>
        <v>2023</v>
      </c>
      <c r="K507" s="2">
        <f>MONTH(Data[[#This Row],[OrderDate]])</f>
        <v>12</v>
      </c>
      <c r="M507" s="12">
        <v>1991</v>
      </c>
      <c r="N507" s="21">
        <f>MAX(Data[OrderDate])-_xlfn.MAXIFS(Data[OrderDate],Data[CustomerID],M507)</f>
        <v>432</v>
      </c>
      <c r="O507" s="22">
        <f>COUNTIFS(Data[CustomerID], M507)</f>
        <v>1</v>
      </c>
      <c r="P507" s="23">
        <f>SUMIFS(Data[Amount], Data[CustomerID], M507)</f>
        <v>140.53</v>
      </c>
    </row>
    <row r="508" spans="1:16" x14ac:dyDescent="0.25">
      <c r="A508">
        <v>1189</v>
      </c>
      <c r="B508">
        <v>902</v>
      </c>
      <c r="C508" s="1">
        <v>45261</v>
      </c>
      <c r="D508">
        <v>370.34</v>
      </c>
      <c r="E508" t="s">
        <v>9</v>
      </c>
      <c r="F508" t="s">
        <v>7</v>
      </c>
      <c r="G508">
        <f>COUNTIF(Data[CustomerID], Data[[#This Row],[CustomerID]])</f>
        <v>5</v>
      </c>
      <c r="H508" s="1" t="str">
        <f>TEXT(Data[OrderDate],"yyyy-mmm")</f>
        <v>2023-Dec</v>
      </c>
      <c r="I508">
        <f>IF(
   COUNTIFS(
      Data[CustomerID], Data[[#This Row],[CustomerID]],
      Data[OrderDate], "&lt;" &amp; EOMONTH(Data[[#This Row],[OrderDate]], -1) + 1
   ) &gt; 0,
   1,
   0
)</f>
        <v>1</v>
      </c>
      <c r="J508">
        <f>YEAR(Data[[#This Row],[OrderDate]])</f>
        <v>2023</v>
      </c>
      <c r="K508" s="2">
        <f>MONTH(Data[[#This Row],[OrderDate]])</f>
        <v>12</v>
      </c>
      <c r="M508" s="12">
        <v>1659</v>
      </c>
      <c r="N508" s="21">
        <f>MAX(Data[OrderDate])-_xlfn.MAXIFS(Data[OrderDate],Data[CustomerID],M508)</f>
        <v>335</v>
      </c>
      <c r="O508" s="22">
        <f>COUNTIFS(Data[CustomerID], M508)</f>
        <v>2</v>
      </c>
      <c r="P508" s="23">
        <f>SUMIFS(Data[Amount], Data[CustomerID], M508)</f>
        <v>138.78</v>
      </c>
    </row>
    <row r="509" spans="1:16" x14ac:dyDescent="0.25">
      <c r="A509">
        <v>1167</v>
      </c>
      <c r="B509">
        <v>845</v>
      </c>
      <c r="C509" s="1">
        <v>45262</v>
      </c>
      <c r="D509">
        <v>308.67</v>
      </c>
      <c r="E509" t="s">
        <v>13</v>
      </c>
      <c r="F509" t="s">
        <v>7</v>
      </c>
      <c r="G509">
        <f>COUNTIF(Data[CustomerID], Data[[#This Row],[CustomerID]])</f>
        <v>2</v>
      </c>
      <c r="H509" s="1" t="str">
        <f>TEXT(Data[OrderDate],"yyyy-mmm")</f>
        <v>2023-Dec</v>
      </c>
      <c r="I509">
        <f>IF(
   COUNTIFS(
      Data[CustomerID], Data[[#This Row],[CustomerID]],
      Data[OrderDate], "&lt;" &amp; EOMONTH(Data[[#This Row],[OrderDate]], -1) + 1
   ) &gt; 0,
   1,
   0
)</f>
        <v>0</v>
      </c>
      <c r="J509">
        <f>YEAR(Data[[#This Row],[OrderDate]])</f>
        <v>2023</v>
      </c>
      <c r="K509" s="2">
        <f>MONTH(Data[[#This Row],[OrderDate]])</f>
        <v>12</v>
      </c>
      <c r="M509" s="12">
        <v>1149</v>
      </c>
      <c r="N509" s="21">
        <f>MAX(Data[OrderDate])-_xlfn.MAXIFS(Data[OrderDate],Data[CustomerID],M509)</f>
        <v>591</v>
      </c>
      <c r="O509" s="22">
        <f>COUNTIFS(Data[CustomerID], M509)</f>
        <v>1</v>
      </c>
      <c r="P509" s="23">
        <f>SUMIFS(Data[Amount], Data[CustomerID], M509)</f>
        <v>134.05000000000001</v>
      </c>
    </row>
    <row r="510" spans="1:16" x14ac:dyDescent="0.25">
      <c r="A510">
        <v>1856</v>
      </c>
      <c r="B510">
        <v>134</v>
      </c>
      <c r="C510" s="1">
        <v>45263</v>
      </c>
      <c r="D510">
        <v>336.35</v>
      </c>
      <c r="E510" t="s">
        <v>6</v>
      </c>
      <c r="F510" t="s">
        <v>19</v>
      </c>
      <c r="G510">
        <f>COUNTIF(Data[CustomerID], Data[[#This Row],[CustomerID]])</f>
        <v>2</v>
      </c>
      <c r="H510" s="1" t="str">
        <f>TEXT(Data[OrderDate],"yyyy-mmm")</f>
        <v>2023-Dec</v>
      </c>
      <c r="I510">
        <f>IF(
   COUNTIFS(
      Data[CustomerID], Data[[#This Row],[CustomerID]],
      Data[OrderDate], "&lt;" &amp; EOMONTH(Data[[#This Row],[OrderDate]], -1) + 1
   ) &gt; 0,
   1,
   0
)</f>
        <v>0</v>
      </c>
      <c r="J510">
        <f>YEAR(Data[[#This Row],[OrderDate]])</f>
        <v>2023</v>
      </c>
      <c r="K510" s="2">
        <f>MONTH(Data[[#This Row],[OrderDate]])</f>
        <v>12</v>
      </c>
      <c r="M510" s="12">
        <v>1268</v>
      </c>
      <c r="N510" s="21">
        <f>MAX(Data[OrderDate])-_xlfn.MAXIFS(Data[OrderDate],Data[CustomerID],M510)</f>
        <v>337</v>
      </c>
      <c r="O510" s="22">
        <f>COUNTIFS(Data[CustomerID], M510)</f>
        <v>1</v>
      </c>
      <c r="P510" s="23">
        <f>SUMIFS(Data[Amount], Data[CustomerID], M510)</f>
        <v>132.91999999999999</v>
      </c>
    </row>
    <row r="511" spans="1:16" x14ac:dyDescent="0.25">
      <c r="A511">
        <v>1911</v>
      </c>
      <c r="B511">
        <v>657</v>
      </c>
      <c r="C511" s="1">
        <v>45265</v>
      </c>
      <c r="D511">
        <v>73.22</v>
      </c>
      <c r="E511" t="s">
        <v>13</v>
      </c>
      <c r="F511" t="s">
        <v>14</v>
      </c>
      <c r="G511">
        <f>COUNTIF(Data[CustomerID], Data[[#This Row],[CustomerID]])</f>
        <v>1</v>
      </c>
      <c r="H511" s="1" t="str">
        <f>TEXT(Data[OrderDate],"yyyy-mmm")</f>
        <v>2023-Dec</v>
      </c>
      <c r="I511">
        <f>IF(
   COUNTIFS(
      Data[CustomerID], Data[[#This Row],[CustomerID]],
      Data[OrderDate], "&lt;" &amp; EOMONTH(Data[[#This Row],[OrderDate]], -1) + 1
   ) &gt; 0,
   1,
   0
)</f>
        <v>0</v>
      </c>
      <c r="J511">
        <f>YEAR(Data[[#This Row],[OrderDate]])</f>
        <v>2023</v>
      </c>
      <c r="K511" s="2">
        <f>MONTH(Data[[#This Row],[OrderDate]])</f>
        <v>12</v>
      </c>
      <c r="M511" s="12">
        <v>1403</v>
      </c>
      <c r="N511" s="21">
        <f>MAX(Data[OrderDate])-_xlfn.MAXIFS(Data[OrderDate],Data[CustomerID],M511)</f>
        <v>240</v>
      </c>
      <c r="O511" s="22">
        <f>COUNTIFS(Data[CustomerID], M511)</f>
        <v>1</v>
      </c>
      <c r="P511" s="23">
        <f>SUMIFS(Data[Amount], Data[CustomerID], M511)</f>
        <v>132.24</v>
      </c>
    </row>
    <row r="512" spans="1:16" x14ac:dyDescent="0.25">
      <c r="A512">
        <v>1902</v>
      </c>
      <c r="B512">
        <v>736</v>
      </c>
      <c r="C512" s="1">
        <v>45266</v>
      </c>
      <c r="D512">
        <v>11.63</v>
      </c>
      <c r="E512" t="s">
        <v>17</v>
      </c>
      <c r="F512" t="s">
        <v>12</v>
      </c>
      <c r="G512">
        <f>COUNTIF(Data[CustomerID], Data[[#This Row],[CustomerID]])</f>
        <v>2</v>
      </c>
      <c r="H512" s="1" t="str">
        <f>TEXT(Data[OrderDate],"yyyy-mmm")</f>
        <v>2023-Dec</v>
      </c>
      <c r="I512">
        <f>IF(
   COUNTIFS(
      Data[CustomerID], Data[[#This Row],[CustomerID]],
      Data[OrderDate], "&lt;" &amp; EOMONTH(Data[[#This Row],[OrderDate]], -1) + 1
   ) &gt; 0,
   1,
   0
)</f>
        <v>1</v>
      </c>
      <c r="J512">
        <f>YEAR(Data[[#This Row],[OrderDate]])</f>
        <v>2023</v>
      </c>
      <c r="K512" s="2">
        <f>MONTH(Data[[#This Row],[OrderDate]])</f>
        <v>12</v>
      </c>
      <c r="M512" s="12">
        <v>1750</v>
      </c>
      <c r="N512" s="21">
        <f>MAX(Data[OrderDate])-_xlfn.MAXIFS(Data[OrderDate],Data[CustomerID],M512)</f>
        <v>209</v>
      </c>
      <c r="O512" s="22">
        <f>COUNTIFS(Data[CustomerID], M512)</f>
        <v>2</v>
      </c>
      <c r="P512" s="23">
        <f>SUMIFS(Data[Amount], Data[CustomerID], M512)</f>
        <v>131.57999999999998</v>
      </c>
    </row>
    <row r="513" spans="1:16" x14ac:dyDescent="0.25">
      <c r="A513">
        <v>1026</v>
      </c>
      <c r="B513">
        <v>447</v>
      </c>
      <c r="C513" s="1">
        <v>45268</v>
      </c>
      <c r="D513">
        <v>13.76</v>
      </c>
      <c r="E513" t="s">
        <v>8</v>
      </c>
      <c r="F513" t="s">
        <v>14</v>
      </c>
      <c r="G513">
        <f>COUNTIF(Data[CustomerID], Data[[#This Row],[CustomerID]])</f>
        <v>1</v>
      </c>
      <c r="H513" s="1" t="str">
        <f>TEXT(Data[OrderDate],"yyyy-mmm")</f>
        <v>2023-Dec</v>
      </c>
      <c r="I513">
        <f>IF(
   COUNTIFS(
      Data[CustomerID], Data[[#This Row],[CustomerID]],
      Data[OrderDate], "&lt;" &amp; EOMONTH(Data[[#This Row],[OrderDate]], -1) + 1
   ) &gt; 0,
   1,
   0
)</f>
        <v>0</v>
      </c>
      <c r="J513">
        <f>YEAR(Data[[#This Row],[OrderDate]])</f>
        <v>2023</v>
      </c>
      <c r="K513" s="2">
        <f>MONTH(Data[[#This Row],[OrderDate]])</f>
        <v>12</v>
      </c>
      <c r="M513" s="12">
        <v>1124</v>
      </c>
      <c r="N513" s="21">
        <f>MAX(Data[OrderDate])-_xlfn.MAXIFS(Data[OrderDate],Data[CustomerID],M513)</f>
        <v>671</v>
      </c>
      <c r="O513" s="22">
        <f>COUNTIFS(Data[CustomerID], M513)</f>
        <v>1</v>
      </c>
      <c r="P513" s="23">
        <f>SUMIFS(Data[Amount], Data[CustomerID], M513)</f>
        <v>131.43</v>
      </c>
    </row>
    <row r="514" spans="1:16" x14ac:dyDescent="0.25">
      <c r="A514">
        <v>1619</v>
      </c>
      <c r="B514">
        <v>578</v>
      </c>
      <c r="C514" s="1">
        <v>45268</v>
      </c>
      <c r="D514">
        <v>301.27</v>
      </c>
      <c r="E514" t="s">
        <v>6</v>
      </c>
      <c r="F514" t="s">
        <v>18</v>
      </c>
      <c r="G514">
        <f>COUNTIF(Data[CustomerID], Data[[#This Row],[CustomerID]])</f>
        <v>2</v>
      </c>
      <c r="H514" s="1" t="str">
        <f>TEXT(Data[OrderDate],"yyyy-mmm")</f>
        <v>2023-Dec</v>
      </c>
      <c r="I514">
        <f>IF(
   COUNTIFS(
      Data[CustomerID], Data[[#This Row],[CustomerID]],
      Data[OrderDate], "&lt;" &amp; EOMONTH(Data[[#This Row],[OrderDate]], -1) + 1
   ) &gt; 0,
   1,
   0
)</f>
        <v>1</v>
      </c>
      <c r="J514">
        <f>YEAR(Data[[#This Row],[OrderDate]])</f>
        <v>2023</v>
      </c>
      <c r="K514" s="2">
        <f>MONTH(Data[[#This Row],[OrderDate]])</f>
        <v>12</v>
      </c>
      <c r="M514" s="12">
        <v>1870</v>
      </c>
      <c r="N514" s="21">
        <f>MAX(Data[OrderDate])-_xlfn.MAXIFS(Data[OrderDate],Data[CustomerID],M514)</f>
        <v>472</v>
      </c>
      <c r="O514" s="22">
        <f>COUNTIFS(Data[CustomerID], M514)</f>
        <v>1</v>
      </c>
      <c r="P514" s="23">
        <f>SUMIFS(Data[Amount], Data[CustomerID], M514)</f>
        <v>131.38</v>
      </c>
    </row>
    <row r="515" spans="1:16" x14ac:dyDescent="0.25">
      <c r="A515">
        <v>1456</v>
      </c>
      <c r="B515">
        <v>752</v>
      </c>
      <c r="C515" s="1">
        <v>45270</v>
      </c>
      <c r="D515">
        <v>283.19</v>
      </c>
      <c r="E515" t="s">
        <v>9</v>
      </c>
      <c r="F515" t="s">
        <v>19</v>
      </c>
      <c r="G515">
        <f>COUNTIF(Data[CustomerID], Data[[#This Row],[CustomerID]])</f>
        <v>1</v>
      </c>
      <c r="H515" s="1" t="str">
        <f>TEXT(Data[OrderDate],"yyyy-mmm")</f>
        <v>2023-Dec</v>
      </c>
      <c r="I515">
        <f>IF(
   COUNTIFS(
      Data[CustomerID], Data[[#This Row],[CustomerID]],
      Data[OrderDate], "&lt;" &amp; EOMONTH(Data[[#This Row],[OrderDate]], -1) + 1
   ) &gt; 0,
   1,
   0
)</f>
        <v>0</v>
      </c>
      <c r="J515">
        <f>YEAR(Data[[#This Row],[OrderDate]])</f>
        <v>2023</v>
      </c>
      <c r="K515" s="2">
        <f>MONTH(Data[[#This Row],[OrderDate]])</f>
        <v>12</v>
      </c>
      <c r="M515" s="12">
        <v>1725</v>
      </c>
      <c r="N515" s="21">
        <f>MAX(Data[OrderDate])-_xlfn.MAXIFS(Data[OrderDate],Data[CustomerID],M515)</f>
        <v>614</v>
      </c>
      <c r="O515" s="22">
        <f>COUNTIFS(Data[CustomerID], M515)</f>
        <v>1</v>
      </c>
      <c r="P515" s="23">
        <f>SUMIFS(Data[Amount], Data[CustomerID], M515)</f>
        <v>130.84</v>
      </c>
    </row>
    <row r="516" spans="1:16" x14ac:dyDescent="0.25">
      <c r="A516">
        <v>1998</v>
      </c>
      <c r="B516">
        <v>760</v>
      </c>
      <c r="C516" s="1">
        <v>45270</v>
      </c>
      <c r="D516">
        <v>68.349999999999994</v>
      </c>
      <c r="E516" t="s">
        <v>11</v>
      </c>
      <c r="F516" t="s">
        <v>14</v>
      </c>
      <c r="G516">
        <f>COUNTIF(Data[CustomerID], Data[[#This Row],[CustomerID]])</f>
        <v>2</v>
      </c>
      <c r="H516" s="1" t="str">
        <f>TEXT(Data[OrderDate],"yyyy-mmm")</f>
        <v>2023-Dec</v>
      </c>
      <c r="I516">
        <f>IF(
   COUNTIFS(
      Data[CustomerID], Data[[#This Row],[CustomerID]],
      Data[OrderDate], "&lt;" &amp; EOMONTH(Data[[#This Row],[OrderDate]], -1) + 1
   ) &gt; 0,
   1,
   0
)</f>
        <v>1</v>
      </c>
      <c r="J516">
        <f>YEAR(Data[[#This Row],[OrderDate]])</f>
        <v>2023</v>
      </c>
      <c r="K516" s="2">
        <f>MONTH(Data[[#This Row],[OrderDate]])</f>
        <v>12</v>
      </c>
      <c r="M516" s="12">
        <v>1507</v>
      </c>
      <c r="N516" s="21">
        <f>MAX(Data[OrderDate])-_xlfn.MAXIFS(Data[OrderDate],Data[CustomerID],M516)</f>
        <v>422</v>
      </c>
      <c r="O516" s="22">
        <f>COUNTIFS(Data[CustomerID], M516)</f>
        <v>1</v>
      </c>
      <c r="P516" s="23">
        <f>SUMIFS(Data[Amount], Data[CustomerID], M516)</f>
        <v>130.72</v>
      </c>
    </row>
    <row r="517" spans="1:16" x14ac:dyDescent="0.25">
      <c r="A517">
        <v>1250</v>
      </c>
      <c r="B517">
        <v>1000</v>
      </c>
      <c r="C517" s="1">
        <v>45270</v>
      </c>
      <c r="D517">
        <v>73.069999999999993</v>
      </c>
      <c r="E517" t="s">
        <v>11</v>
      </c>
      <c r="F517" t="s">
        <v>19</v>
      </c>
      <c r="G517">
        <f>COUNTIF(Data[CustomerID], Data[[#This Row],[CustomerID]])</f>
        <v>1</v>
      </c>
      <c r="H517" s="1" t="str">
        <f>TEXT(Data[OrderDate],"yyyy-mmm")</f>
        <v>2023-Dec</v>
      </c>
      <c r="I517">
        <f>IF(
   COUNTIFS(
      Data[CustomerID], Data[[#This Row],[CustomerID]],
      Data[OrderDate], "&lt;" &amp; EOMONTH(Data[[#This Row],[OrderDate]], -1) + 1
   ) &gt; 0,
   1,
   0
)</f>
        <v>0</v>
      </c>
      <c r="J517">
        <f>YEAR(Data[[#This Row],[OrderDate]])</f>
        <v>2023</v>
      </c>
      <c r="K517" s="2">
        <f>MONTH(Data[[#This Row],[OrderDate]])</f>
        <v>12</v>
      </c>
      <c r="M517" s="12">
        <v>1810</v>
      </c>
      <c r="N517" s="21">
        <f>MAX(Data[OrderDate])-_xlfn.MAXIFS(Data[OrderDate],Data[CustomerID],M517)</f>
        <v>76</v>
      </c>
      <c r="O517" s="22">
        <f>COUNTIFS(Data[CustomerID], M517)</f>
        <v>1</v>
      </c>
      <c r="P517" s="23">
        <f>SUMIFS(Data[Amount], Data[CustomerID], M517)</f>
        <v>130.26</v>
      </c>
    </row>
    <row r="518" spans="1:16" x14ac:dyDescent="0.25">
      <c r="A518">
        <v>1164</v>
      </c>
      <c r="B518">
        <v>854</v>
      </c>
      <c r="C518" s="1">
        <v>45271</v>
      </c>
      <c r="D518">
        <v>411.09</v>
      </c>
      <c r="E518" t="s">
        <v>17</v>
      </c>
      <c r="F518" t="s">
        <v>12</v>
      </c>
      <c r="G518">
        <f>COUNTIF(Data[CustomerID], Data[[#This Row],[CustomerID]])</f>
        <v>1</v>
      </c>
      <c r="H518" s="1" t="str">
        <f>TEXT(Data[OrderDate],"yyyy-mmm")</f>
        <v>2023-Dec</v>
      </c>
      <c r="I518">
        <f>IF(
   COUNTIFS(
      Data[CustomerID], Data[[#This Row],[CustomerID]],
      Data[OrderDate], "&lt;" &amp; EOMONTH(Data[[#This Row],[OrderDate]], -1) + 1
   ) &gt; 0,
   1,
   0
)</f>
        <v>0</v>
      </c>
      <c r="J518">
        <f>YEAR(Data[[#This Row],[OrderDate]])</f>
        <v>2023</v>
      </c>
      <c r="K518" s="2">
        <f>MONTH(Data[[#This Row],[OrderDate]])</f>
        <v>12</v>
      </c>
      <c r="M518" s="12">
        <v>1550</v>
      </c>
      <c r="N518" s="21">
        <f>MAX(Data[OrderDate])-_xlfn.MAXIFS(Data[OrderDate],Data[CustomerID],M518)</f>
        <v>500</v>
      </c>
      <c r="O518" s="22">
        <f>COUNTIFS(Data[CustomerID], M518)</f>
        <v>2</v>
      </c>
      <c r="P518" s="23">
        <f>SUMIFS(Data[Amount], Data[CustomerID], M518)</f>
        <v>127.22999999999999</v>
      </c>
    </row>
    <row r="519" spans="1:16" x14ac:dyDescent="0.25">
      <c r="A519">
        <v>1337</v>
      </c>
      <c r="B519">
        <v>119</v>
      </c>
      <c r="C519" s="1">
        <v>45272</v>
      </c>
      <c r="D519">
        <v>52.15</v>
      </c>
      <c r="E519" t="s">
        <v>11</v>
      </c>
      <c r="F519" t="s">
        <v>19</v>
      </c>
      <c r="G519">
        <f>COUNTIF(Data[CustomerID], Data[[#This Row],[CustomerID]])</f>
        <v>3</v>
      </c>
      <c r="H519" s="1" t="str">
        <f>TEXT(Data[OrderDate],"yyyy-mmm")</f>
        <v>2023-Dec</v>
      </c>
      <c r="I519">
        <f>IF(
   COUNTIFS(
      Data[CustomerID], Data[[#This Row],[CustomerID]],
      Data[OrderDate], "&lt;" &amp; EOMONTH(Data[[#This Row],[OrderDate]], -1) + 1
   ) &gt; 0,
   1,
   0
)</f>
        <v>1</v>
      </c>
      <c r="J519">
        <f>YEAR(Data[[#This Row],[OrderDate]])</f>
        <v>2023</v>
      </c>
      <c r="K519" s="2">
        <f>MONTH(Data[[#This Row],[OrderDate]])</f>
        <v>12</v>
      </c>
      <c r="M519" s="12">
        <v>1257</v>
      </c>
      <c r="N519" s="21">
        <f>MAX(Data[OrderDate])-_xlfn.MAXIFS(Data[OrderDate],Data[CustomerID],M519)</f>
        <v>257</v>
      </c>
      <c r="O519" s="22">
        <f>COUNTIFS(Data[CustomerID], M519)</f>
        <v>1</v>
      </c>
      <c r="P519" s="23">
        <f>SUMIFS(Data[Amount], Data[CustomerID], M519)</f>
        <v>121.75</v>
      </c>
    </row>
    <row r="520" spans="1:16" x14ac:dyDescent="0.25">
      <c r="A520">
        <v>1651</v>
      </c>
      <c r="B520">
        <v>372</v>
      </c>
      <c r="C520" s="1">
        <v>45272</v>
      </c>
      <c r="D520">
        <v>490.71</v>
      </c>
      <c r="E520" t="s">
        <v>6</v>
      </c>
      <c r="F520" t="s">
        <v>18</v>
      </c>
      <c r="G520">
        <f>COUNTIF(Data[CustomerID], Data[[#This Row],[CustomerID]])</f>
        <v>1</v>
      </c>
      <c r="H520" s="1" t="str">
        <f>TEXT(Data[OrderDate],"yyyy-mmm")</f>
        <v>2023-Dec</v>
      </c>
      <c r="I520">
        <f>IF(
   COUNTIFS(
      Data[CustomerID], Data[[#This Row],[CustomerID]],
      Data[OrderDate], "&lt;" &amp; EOMONTH(Data[[#This Row],[OrderDate]], -1) + 1
   ) &gt; 0,
   1,
   0
)</f>
        <v>0</v>
      </c>
      <c r="J520">
        <f>YEAR(Data[[#This Row],[OrderDate]])</f>
        <v>2023</v>
      </c>
      <c r="K520" s="2">
        <f>MONTH(Data[[#This Row],[OrderDate]])</f>
        <v>12</v>
      </c>
      <c r="M520" s="12">
        <v>1293</v>
      </c>
      <c r="N520" s="21">
        <f>MAX(Data[OrderDate])-_xlfn.MAXIFS(Data[OrderDate],Data[CustomerID],M520)</f>
        <v>557</v>
      </c>
      <c r="O520" s="22">
        <f>COUNTIFS(Data[CustomerID], M520)</f>
        <v>1</v>
      </c>
      <c r="P520" s="23">
        <f>SUMIFS(Data[Amount], Data[CustomerID], M520)</f>
        <v>121.44</v>
      </c>
    </row>
    <row r="521" spans="1:16" x14ac:dyDescent="0.25">
      <c r="A521">
        <v>1111</v>
      </c>
      <c r="B521">
        <v>399</v>
      </c>
      <c r="C521" s="1">
        <v>45272</v>
      </c>
      <c r="D521">
        <v>471.48</v>
      </c>
      <c r="E521" t="s">
        <v>6</v>
      </c>
      <c r="F521" t="s">
        <v>19</v>
      </c>
      <c r="G521">
        <f>COUNTIF(Data[CustomerID], Data[[#This Row],[CustomerID]])</f>
        <v>1</v>
      </c>
      <c r="H521" s="1" t="str">
        <f>TEXT(Data[OrderDate],"yyyy-mmm")</f>
        <v>2023-Dec</v>
      </c>
      <c r="I521">
        <f>IF(
   COUNTIFS(
      Data[CustomerID], Data[[#This Row],[CustomerID]],
      Data[OrderDate], "&lt;" &amp; EOMONTH(Data[[#This Row],[OrderDate]], -1) + 1
   ) &gt; 0,
   1,
   0
)</f>
        <v>0</v>
      </c>
      <c r="J521">
        <f>YEAR(Data[[#This Row],[OrderDate]])</f>
        <v>2023</v>
      </c>
      <c r="K521" s="2">
        <f>MONTH(Data[[#This Row],[OrderDate]])</f>
        <v>12</v>
      </c>
      <c r="M521" s="12">
        <v>1228</v>
      </c>
      <c r="N521" s="21">
        <f>MAX(Data[OrderDate])-_xlfn.MAXIFS(Data[OrderDate],Data[CustomerID],M521)</f>
        <v>693</v>
      </c>
      <c r="O521" s="22">
        <f>COUNTIFS(Data[CustomerID], M521)</f>
        <v>1</v>
      </c>
      <c r="P521" s="23">
        <f>SUMIFS(Data[Amount], Data[CustomerID], M521)</f>
        <v>120.22</v>
      </c>
    </row>
    <row r="522" spans="1:16" x14ac:dyDescent="0.25">
      <c r="A522">
        <v>1895</v>
      </c>
      <c r="B522">
        <v>424</v>
      </c>
      <c r="C522" s="1">
        <v>45273</v>
      </c>
      <c r="D522">
        <v>242.28</v>
      </c>
      <c r="E522" t="s">
        <v>6</v>
      </c>
      <c r="F522" t="s">
        <v>12</v>
      </c>
      <c r="G522">
        <f>COUNTIF(Data[CustomerID], Data[[#This Row],[CustomerID]])</f>
        <v>3</v>
      </c>
      <c r="H522" s="1" t="str">
        <f>TEXT(Data[OrderDate],"yyyy-mmm")</f>
        <v>2023-Dec</v>
      </c>
      <c r="I522">
        <f>IF(
   COUNTIFS(
      Data[CustomerID], Data[[#This Row],[CustomerID]],
      Data[OrderDate], "&lt;" &amp; EOMONTH(Data[[#This Row],[OrderDate]], -1) + 1
   ) &gt; 0,
   1,
   0
)</f>
        <v>1</v>
      </c>
      <c r="J522">
        <f>YEAR(Data[[#This Row],[OrderDate]])</f>
        <v>2023</v>
      </c>
      <c r="K522" s="2">
        <f>MONTH(Data[[#This Row],[OrderDate]])</f>
        <v>12</v>
      </c>
      <c r="M522" s="12">
        <v>1157</v>
      </c>
      <c r="N522" s="21">
        <f>MAX(Data[OrderDate])-_xlfn.MAXIFS(Data[OrderDate],Data[CustomerID],M522)</f>
        <v>110</v>
      </c>
      <c r="O522" s="22">
        <f>COUNTIFS(Data[CustomerID], M522)</f>
        <v>1</v>
      </c>
      <c r="P522" s="23">
        <f>SUMIFS(Data[Amount], Data[CustomerID], M522)</f>
        <v>120.16</v>
      </c>
    </row>
    <row r="523" spans="1:16" x14ac:dyDescent="0.25">
      <c r="A523">
        <v>1474</v>
      </c>
      <c r="B523">
        <v>40</v>
      </c>
      <c r="C523" s="1">
        <v>45274</v>
      </c>
      <c r="D523">
        <v>299.41000000000003</v>
      </c>
      <c r="E523" t="s">
        <v>17</v>
      </c>
      <c r="F523" t="s">
        <v>19</v>
      </c>
      <c r="G523">
        <f>COUNTIF(Data[CustomerID], Data[[#This Row],[CustomerID]])</f>
        <v>2</v>
      </c>
      <c r="H523" s="1" t="str">
        <f>TEXT(Data[OrderDate],"yyyy-mmm")</f>
        <v>2023-Dec</v>
      </c>
      <c r="I523">
        <f>IF(
   COUNTIFS(
      Data[CustomerID], Data[[#This Row],[CustomerID]],
      Data[OrderDate], "&lt;" &amp; EOMONTH(Data[[#This Row],[OrderDate]], -1) + 1
   ) &gt; 0,
   1,
   0
)</f>
        <v>1</v>
      </c>
      <c r="J523">
        <f>YEAR(Data[[#This Row],[OrderDate]])</f>
        <v>2023</v>
      </c>
      <c r="K523" s="2">
        <f>MONTH(Data[[#This Row],[OrderDate]])</f>
        <v>12</v>
      </c>
      <c r="M523" s="12">
        <v>1945</v>
      </c>
      <c r="N523" s="21">
        <f>MAX(Data[OrderDate])-_xlfn.MAXIFS(Data[OrderDate],Data[CustomerID],M523)</f>
        <v>347</v>
      </c>
      <c r="O523" s="22">
        <f>COUNTIFS(Data[CustomerID], M523)</f>
        <v>2</v>
      </c>
      <c r="P523" s="23">
        <f>SUMIFS(Data[Amount], Data[CustomerID], M523)</f>
        <v>119.49</v>
      </c>
    </row>
    <row r="524" spans="1:16" x14ac:dyDescent="0.25">
      <c r="A524">
        <v>1219</v>
      </c>
      <c r="B524">
        <v>287</v>
      </c>
      <c r="C524" s="1">
        <v>45275</v>
      </c>
      <c r="D524">
        <v>189.89</v>
      </c>
      <c r="E524" t="s">
        <v>15</v>
      </c>
      <c r="F524" t="s">
        <v>12</v>
      </c>
      <c r="G524">
        <f>COUNTIF(Data[CustomerID], Data[[#This Row],[CustomerID]])</f>
        <v>4</v>
      </c>
      <c r="H524" s="1" t="str">
        <f>TEXT(Data[OrderDate],"yyyy-mmm")</f>
        <v>2023-Dec</v>
      </c>
      <c r="I524">
        <f>IF(
   COUNTIFS(
      Data[CustomerID], Data[[#This Row],[CustomerID]],
      Data[OrderDate], "&lt;" &amp; EOMONTH(Data[[#This Row],[OrderDate]], -1) + 1
   ) &gt; 0,
   1,
   0
)</f>
        <v>1</v>
      </c>
      <c r="J524">
        <f>YEAR(Data[[#This Row],[OrderDate]])</f>
        <v>2023</v>
      </c>
      <c r="K524" s="2">
        <f>MONTH(Data[[#This Row],[OrderDate]])</f>
        <v>12</v>
      </c>
      <c r="M524" s="12">
        <v>1981</v>
      </c>
      <c r="N524" s="21">
        <f>MAX(Data[OrderDate])-_xlfn.MAXIFS(Data[OrderDate],Data[CustomerID],M524)</f>
        <v>596</v>
      </c>
      <c r="O524" s="22">
        <f>COUNTIFS(Data[CustomerID], M524)</f>
        <v>1</v>
      </c>
      <c r="P524" s="23">
        <f>SUMIFS(Data[Amount], Data[CustomerID], M524)</f>
        <v>118.97</v>
      </c>
    </row>
    <row r="525" spans="1:16" x14ac:dyDescent="0.25">
      <c r="A525">
        <v>1980</v>
      </c>
      <c r="B525">
        <v>489</v>
      </c>
      <c r="C525" s="1">
        <v>45275</v>
      </c>
      <c r="D525">
        <v>98.9</v>
      </c>
      <c r="E525" t="s">
        <v>15</v>
      </c>
      <c r="F525" t="s">
        <v>14</v>
      </c>
      <c r="G525">
        <f>COUNTIF(Data[CustomerID], Data[[#This Row],[CustomerID]])</f>
        <v>1</v>
      </c>
      <c r="H525" s="1" t="str">
        <f>TEXT(Data[OrderDate],"yyyy-mmm")</f>
        <v>2023-Dec</v>
      </c>
      <c r="I525">
        <f>IF(
   COUNTIFS(
      Data[CustomerID], Data[[#This Row],[CustomerID]],
      Data[OrderDate], "&lt;" &amp; EOMONTH(Data[[#This Row],[OrderDate]], -1) + 1
   ) &gt; 0,
   1,
   0
)</f>
        <v>0</v>
      </c>
      <c r="J525">
        <f>YEAR(Data[[#This Row],[OrderDate]])</f>
        <v>2023</v>
      </c>
      <c r="K525" s="2">
        <f>MONTH(Data[[#This Row],[OrderDate]])</f>
        <v>12</v>
      </c>
      <c r="M525" s="12">
        <v>1664</v>
      </c>
      <c r="N525" s="21">
        <f>MAX(Data[OrderDate])-_xlfn.MAXIFS(Data[OrderDate],Data[CustomerID],M525)</f>
        <v>206</v>
      </c>
      <c r="O525" s="22">
        <f>COUNTIFS(Data[CustomerID], M525)</f>
        <v>1</v>
      </c>
      <c r="P525" s="23">
        <f>SUMIFS(Data[Amount], Data[CustomerID], M525)</f>
        <v>117.78</v>
      </c>
    </row>
    <row r="526" spans="1:16" x14ac:dyDescent="0.25">
      <c r="A526">
        <v>1267</v>
      </c>
      <c r="B526">
        <v>707</v>
      </c>
      <c r="C526" s="1">
        <v>45275</v>
      </c>
      <c r="D526">
        <v>489.93</v>
      </c>
      <c r="E526" t="s">
        <v>9</v>
      </c>
      <c r="F526" t="s">
        <v>19</v>
      </c>
      <c r="G526">
        <f>COUNTIF(Data[CustomerID], Data[[#This Row],[CustomerID]])</f>
        <v>2</v>
      </c>
      <c r="H526" s="1" t="str">
        <f>TEXT(Data[OrderDate],"yyyy-mmm")</f>
        <v>2023-Dec</v>
      </c>
      <c r="I526">
        <f>IF(
   COUNTIFS(
      Data[CustomerID], Data[[#This Row],[CustomerID]],
      Data[OrderDate], "&lt;" &amp; EOMONTH(Data[[#This Row],[OrderDate]], -1) + 1
   ) &gt; 0,
   1,
   0
)</f>
        <v>1</v>
      </c>
      <c r="J526">
        <f>YEAR(Data[[#This Row],[OrderDate]])</f>
        <v>2023</v>
      </c>
      <c r="K526" s="2">
        <f>MONTH(Data[[#This Row],[OrderDate]])</f>
        <v>12</v>
      </c>
      <c r="M526" s="12">
        <v>1525</v>
      </c>
      <c r="N526" s="21">
        <f>MAX(Data[OrderDate])-_xlfn.MAXIFS(Data[OrderDate],Data[CustomerID],M526)</f>
        <v>415</v>
      </c>
      <c r="O526" s="22">
        <f>COUNTIFS(Data[CustomerID], M526)</f>
        <v>1</v>
      </c>
      <c r="P526" s="23">
        <f>SUMIFS(Data[Amount], Data[CustomerID], M526)</f>
        <v>117.23</v>
      </c>
    </row>
    <row r="527" spans="1:16" x14ac:dyDescent="0.25">
      <c r="A527">
        <v>1587</v>
      </c>
      <c r="B527">
        <v>834</v>
      </c>
      <c r="C527" s="1">
        <v>45275</v>
      </c>
      <c r="D527">
        <v>181.55</v>
      </c>
      <c r="E527" t="s">
        <v>13</v>
      </c>
      <c r="F527" t="s">
        <v>12</v>
      </c>
      <c r="G527">
        <f>COUNTIF(Data[CustomerID], Data[[#This Row],[CustomerID]])</f>
        <v>1</v>
      </c>
      <c r="H527" s="1" t="str">
        <f>TEXT(Data[OrderDate],"yyyy-mmm")</f>
        <v>2023-Dec</v>
      </c>
      <c r="I527">
        <f>IF(
   COUNTIFS(
      Data[CustomerID], Data[[#This Row],[CustomerID]],
      Data[OrderDate], "&lt;" &amp; EOMONTH(Data[[#This Row],[OrderDate]], -1) + 1
   ) &gt; 0,
   1,
   0
)</f>
        <v>0</v>
      </c>
      <c r="J527">
        <f>YEAR(Data[[#This Row],[OrderDate]])</f>
        <v>2023</v>
      </c>
      <c r="K527" s="2">
        <f>MONTH(Data[[#This Row],[OrderDate]])</f>
        <v>12</v>
      </c>
      <c r="M527" s="12">
        <v>1521</v>
      </c>
      <c r="N527" s="21">
        <f>MAX(Data[OrderDate])-_xlfn.MAXIFS(Data[OrderDate],Data[CustomerID],M527)</f>
        <v>162</v>
      </c>
      <c r="O527" s="22">
        <f>COUNTIFS(Data[CustomerID], M527)</f>
        <v>1</v>
      </c>
      <c r="P527" s="23">
        <f>SUMIFS(Data[Amount], Data[CustomerID], M527)</f>
        <v>116.59</v>
      </c>
    </row>
    <row r="528" spans="1:16" x14ac:dyDescent="0.25">
      <c r="A528">
        <v>1908</v>
      </c>
      <c r="B528">
        <v>984</v>
      </c>
      <c r="C528" s="1">
        <v>45275</v>
      </c>
      <c r="D528">
        <v>288.81</v>
      </c>
      <c r="E528" t="s">
        <v>17</v>
      </c>
      <c r="F528" t="s">
        <v>16</v>
      </c>
      <c r="G528">
        <f>COUNTIF(Data[CustomerID], Data[[#This Row],[CustomerID]])</f>
        <v>1</v>
      </c>
      <c r="H528" s="1" t="str">
        <f>TEXT(Data[OrderDate],"yyyy-mmm")</f>
        <v>2023-Dec</v>
      </c>
      <c r="I528">
        <f>IF(
   COUNTIFS(
      Data[CustomerID], Data[[#This Row],[CustomerID]],
      Data[OrderDate], "&lt;" &amp; EOMONTH(Data[[#This Row],[OrderDate]], -1) + 1
   ) &gt; 0,
   1,
   0
)</f>
        <v>0</v>
      </c>
      <c r="J528">
        <f>YEAR(Data[[#This Row],[OrderDate]])</f>
        <v>2023</v>
      </c>
      <c r="K528" s="2">
        <f>MONTH(Data[[#This Row],[OrderDate]])</f>
        <v>12</v>
      </c>
      <c r="M528" s="12">
        <v>1969</v>
      </c>
      <c r="N528" s="21">
        <f>MAX(Data[OrderDate])-_xlfn.MAXIFS(Data[OrderDate],Data[CustomerID],M528)</f>
        <v>260</v>
      </c>
      <c r="O528" s="22">
        <f>COUNTIFS(Data[CustomerID], M528)</f>
        <v>1</v>
      </c>
      <c r="P528" s="23">
        <f>SUMIFS(Data[Amount], Data[CustomerID], M528)</f>
        <v>116.49</v>
      </c>
    </row>
    <row r="529" spans="1:16" x14ac:dyDescent="0.25">
      <c r="A529">
        <v>1156</v>
      </c>
      <c r="B529">
        <v>130</v>
      </c>
      <c r="C529" s="1">
        <v>45276</v>
      </c>
      <c r="D529">
        <v>442.44</v>
      </c>
      <c r="E529" t="s">
        <v>8</v>
      </c>
      <c r="F529" t="s">
        <v>16</v>
      </c>
      <c r="G529">
        <f>COUNTIF(Data[CustomerID], Data[[#This Row],[CustomerID]])</f>
        <v>1</v>
      </c>
      <c r="H529" s="1" t="str">
        <f>TEXT(Data[OrderDate],"yyyy-mmm")</f>
        <v>2023-Dec</v>
      </c>
      <c r="I529">
        <f>IF(
   COUNTIFS(
      Data[CustomerID], Data[[#This Row],[CustomerID]],
      Data[OrderDate], "&lt;" &amp; EOMONTH(Data[[#This Row],[OrderDate]], -1) + 1
   ) &gt; 0,
   1,
   0
)</f>
        <v>0</v>
      </c>
      <c r="J529">
        <f>YEAR(Data[[#This Row],[OrderDate]])</f>
        <v>2023</v>
      </c>
      <c r="K529" s="2">
        <f>MONTH(Data[[#This Row],[OrderDate]])</f>
        <v>12</v>
      </c>
      <c r="M529" s="12">
        <v>1839</v>
      </c>
      <c r="N529" s="21">
        <f>MAX(Data[OrderDate])-_xlfn.MAXIFS(Data[OrderDate],Data[CustomerID],M529)</f>
        <v>77</v>
      </c>
      <c r="O529" s="22">
        <f>COUNTIFS(Data[CustomerID], M529)</f>
        <v>1</v>
      </c>
      <c r="P529" s="23">
        <f>SUMIFS(Data[Amount], Data[CustomerID], M529)</f>
        <v>116.23</v>
      </c>
    </row>
    <row r="530" spans="1:16" x14ac:dyDescent="0.25">
      <c r="A530">
        <v>1035</v>
      </c>
      <c r="B530">
        <v>210</v>
      </c>
      <c r="C530" s="1">
        <v>45276</v>
      </c>
      <c r="D530">
        <v>147.9</v>
      </c>
      <c r="E530" t="s">
        <v>11</v>
      </c>
      <c r="F530" t="s">
        <v>19</v>
      </c>
      <c r="G530">
        <f>COUNTIF(Data[CustomerID], Data[[#This Row],[CustomerID]])</f>
        <v>2</v>
      </c>
      <c r="H530" s="1" t="str">
        <f>TEXT(Data[OrderDate],"yyyy-mmm")</f>
        <v>2023-Dec</v>
      </c>
      <c r="I530">
        <f>IF(
   COUNTIFS(
      Data[CustomerID], Data[[#This Row],[CustomerID]],
      Data[OrderDate], "&lt;" &amp; EOMONTH(Data[[#This Row],[OrderDate]], -1) + 1
   ) &gt; 0,
   1,
   0
)</f>
        <v>0</v>
      </c>
      <c r="J530">
        <f>YEAR(Data[[#This Row],[OrderDate]])</f>
        <v>2023</v>
      </c>
      <c r="K530" s="2">
        <f>MONTH(Data[[#This Row],[OrderDate]])</f>
        <v>12</v>
      </c>
      <c r="M530" s="12">
        <v>1627</v>
      </c>
      <c r="N530" s="21">
        <f>MAX(Data[OrderDate])-_xlfn.MAXIFS(Data[OrderDate],Data[CustomerID],M530)</f>
        <v>96</v>
      </c>
      <c r="O530" s="22">
        <f>COUNTIFS(Data[CustomerID], M530)</f>
        <v>2</v>
      </c>
      <c r="P530" s="23">
        <f>SUMIFS(Data[Amount], Data[CustomerID], M530)</f>
        <v>114.99000000000001</v>
      </c>
    </row>
    <row r="531" spans="1:16" x14ac:dyDescent="0.25">
      <c r="A531">
        <v>1159</v>
      </c>
      <c r="B531">
        <v>212</v>
      </c>
      <c r="C531" s="1">
        <v>45276</v>
      </c>
      <c r="D531">
        <v>327</v>
      </c>
      <c r="E531" t="s">
        <v>17</v>
      </c>
      <c r="F531" t="s">
        <v>12</v>
      </c>
      <c r="G531">
        <f>COUNTIF(Data[CustomerID], Data[[#This Row],[CustomerID]])</f>
        <v>3</v>
      </c>
      <c r="H531" s="1" t="str">
        <f>TEXT(Data[OrderDate],"yyyy-mmm")</f>
        <v>2023-Dec</v>
      </c>
      <c r="I531">
        <f>IF(
   COUNTIFS(
      Data[CustomerID], Data[[#This Row],[CustomerID]],
      Data[OrderDate], "&lt;" &amp; EOMONTH(Data[[#This Row],[OrderDate]], -1) + 1
   ) &gt; 0,
   1,
   0
)</f>
        <v>0</v>
      </c>
      <c r="J531">
        <f>YEAR(Data[[#This Row],[OrderDate]])</f>
        <v>2023</v>
      </c>
      <c r="K531" s="2">
        <f>MONTH(Data[[#This Row],[OrderDate]])</f>
        <v>12</v>
      </c>
      <c r="M531" s="12">
        <v>1726</v>
      </c>
      <c r="N531" s="21">
        <f>MAX(Data[OrderDate])-_xlfn.MAXIFS(Data[OrderDate],Data[CustomerID],M531)</f>
        <v>18</v>
      </c>
      <c r="O531" s="22">
        <f>COUNTIFS(Data[CustomerID], M531)</f>
        <v>3</v>
      </c>
      <c r="P531" s="23">
        <f>SUMIFS(Data[Amount], Data[CustomerID], M531)</f>
        <v>114.78999999999999</v>
      </c>
    </row>
    <row r="532" spans="1:16" x14ac:dyDescent="0.25">
      <c r="A532">
        <v>1945</v>
      </c>
      <c r="B532">
        <v>848</v>
      </c>
      <c r="C532" s="1">
        <v>45279</v>
      </c>
      <c r="D532">
        <v>88.58</v>
      </c>
      <c r="E532" t="s">
        <v>13</v>
      </c>
      <c r="F532" t="s">
        <v>10</v>
      </c>
      <c r="G532">
        <f>COUNTIF(Data[CustomerID], Data[[#This Row],[CustomerID]])</f>
        <v>2</v>
      </c>
      <c r="H532" s="1" t="str">
        <f>TEXT(Data[OrderDate],"yyyy-mmm")</f>
        <v>2023-Dec</v>
      </c>
      <c r="I532">
        <f>IF(
   COUNTIFS(
      Data[CustomerID], Data[[#This Row],[CustomerID]],
      Data[OrderDate], "&lt;" &amp; EOMONTH(Data[[#This Row],[OrderDate]], -1) + 1
   ) &gt; 0,
   1,
   0
)</f>
        <v>1</v>
      </c>
      <c r="J532">
        <f>YEAR(Data[[#This Row],[OrderDate]])</f>
        <v>2023</v>
      </c>
      <c r="K532" s="2">
        <f>MONTH(Data[[#This Row],[OrderDate]])</f>
        <v>12</v>
      </c>
      <c r="M532" s="12">
        <v>1203</v>
      </c>
      <c r="N532" s="21">
        <f>MAX(Data[OrderDate])-_xlfn.MAXIFS(Data[OrderDate],Data[CustomerID],M532)</f>
        <v>484</v>
      </c>
      <c r="O532" s="22">
        <f>COUNTIFS(Data[CustomerID], M532)</f>
        <v>1</v>
      </c>
      <c r="P532" s="23">
        <f>SUMIFS(Data[Amount], Data[CustomerID], M532)</f>
        <v>112.52</v>
      </c>
    </row>
    <row r="533" spans="1:16" x14ac:dyDescent="0.25">
      <c r="A533">
        <v>1151</v>
      </c>
      <c r="B533">
        <v>384</v>
      </c>
      <c r="C533" s="1">
        <v>45282</v>
      </c>
      <c r="D533">
        <v>395.01</v>
      </c>
      <c r="E533" t="s">
        <v>6</v>
      </c>
      <c r="F533" t="s">
        <v>14</v>
      </c>
      <c r="G533">
        <f>COUNTIF(Data[CustomerID], Data[[#This Row],[CustomerID]])</f>
        <v>1</v>
      </c>
      <c r="H533" s="1" t="str">
        <f>TEXT(Data[OrderDate],"yyyy-mmm")</f>
        <v>2023-Dec</v>
      </c>
      <c r="I533">
        <f>IF(
   COUNTIFS(
      Data[CustomerID], Data[[#This Row],[CustomerID]],
      Data[OrderDate], "&lt;" &amp; EOMONTH(Data[[#This Row],[OrderDate]], -1) + 1
   ) &gt; 0,
   1,
   0
)</f>
        <v>0</v>
      </c>
      <c r="J533">
        <f>YEAR(Data[[#This Row],[OrderDate]])</f>
        <v>2023</v>
      </c>
      <c r="K533" s="2">
        <f>MONTH(Data[[#This Row],[OrderDate]])</f>
        <v>12</v>
      </c>
      <c r="M533" s="12">
        <v>1680</v>
      </c>
      <c r="N533" s="21">
        <f>MAX(Data[OrderDate])-_xlfn.MAXIFS(Data[OrderDate],Data[CustomerID],M533)</f>
        <v>34</v>
      </c>
      <c r="O533" s="22">
        <f>COUNTIFS(Data[CustomerID], M533)</f>
        <v>1</v>
      </c>
      <c r="P533" s="23">
        <f>SUMIFS(Data[Amount], Data[CustomerID], M533)</f>
        <v>109.93</v>
      </c>
    </row>
    <row r="534" spans="1:16" x14ac:dyDescent="0.25">
      <c r="A534">
        <v>1681</v>
      </c>
      <c r="B534">
        <v>568</v>
      </c>
      <c r="C534" s="1">
        <v>45282</v>
      </c>
      <c r="D534">
        <v>66.989999999999995</v>
      </c>
      <c r="E534" t="s">
        <v>17</v>
      </c>
      <c r="F534" t="s">
        <v>7</v>
      </c>
      <c r="G534">
        <f>COUNTIF(Data[CustomerID], Data[[#This Row],[CustomerID]])</f>
        <v>4</v>
      </c>
      <c r="H534" s="1" t="str">
        <f>TEXT(Data[OrderDate],"yyyy-mmm")</f>
        <v>2023-Dec</v>
      </c>
      <c r="I534">
        <f>IF(
   COUNTIFS(
      Data[CustomerID], Data[[#This Row],[CustomerID]],
      Data[OrderDate], "&lt;" &amp; EOMONTH(Data[[#This Row],[OrderDate]], -1) + 1
   ) &gt; 0,
   1,
   0
)</f>
        <v>1</v>
      </c>
      <c r="J534">
        <f>YEAR(Data[[#This Row],[OrderDate]])</f>
        <v>2023</v>
      </c>
      <c r="K534" s="2">
        <f>MONTH(Data[[#This Row],[OrderDate]])</f>
        <v>12</v>
      </c>
      <c r="M534" s="12">
        <v>1324</v>
      </c>
      <c r="N534" s="21">
        <f>MAX(Data[OrderDate])-_xlfn.MAXIFS(Data[OrderDate],Data[CustomerID],M534)</f>
        <v>202</v>
      </c>
      <c r="O534" s="22">
        <f>COUNTIFS(Data[CustomerID], M534)</f>
        <v>1</v>
      </c>
      <c r="P534" s="23">
        <f>SUMIFS(Data[Amount], Data[CustomerID], M534)</f>
        <v>108.87</v>
      </c>
    </row>
    <row r="535" spans="1:16" x14ac:dyDescent="0.25">
      <c r="A535">
        <v>1647</v>
      </c>
      <c r="B535">
        <v>857</v>
      </c>
      <c r="C535" s="1">
        <v>45282</v>
      </c>
      <c r="D535">
        <v>484.04</v>
      </c>
      <c r="E535" t="s">
        <v>13</v>
      </c>
      <c r="F535" t="s">
        <v>16</v>
      </c>
      <c r="G535">
        <f>COUNTIF(Data[CustomerID], Data[[#This Row],[CustomerID]])</f>
        <v>3</v>
      </c>
      <c r="H535" s="1" t="str">
        <f>TEXT(Data[OrderDate],"yyyy-mmm")</f>
        <v>2023-Dec</v>
      </c>
      <c r="I535">
        <f>IF(
   COUNTIFS(
      Data[CustomerID], Data[[#This Row],[CustomerID]],
      Data[OrderDate], "&lt;" &amp; EOMONTH(Data[[#This Row],[OrderDate]], -1) + 1
   ) &gt; 0,
   1,
   0
)</f>
        <v>1</v>
      </c>
      <c r="J535">
        <f>YEAR(Data[[#This Row],[OrderDate]])</f>
        <v>2023</v>
      </c>
      <c r="K535" s="2">
        <f>MONTH(Data[[#This Row],[OrderDate]])</f>
        <v>12</v>
      </c>
      <c r="M535" s="12">
        <v>1906</v>
      </c>
      <c r="N535" s="21">
        <f>MAX(Data[OrderDate])-_xlfn.MAXIFS(Data[OrderDate],Data[CustomerID],M535)</f>
        <v>661</v>
      </c>
      <c r="O535" s="22">
        <f>COUNTIFS(Data[CustomerID], M535)</f>
        <v>1</v>
      </c>
      <c r="P535" s="23">
        <f>SUMIFS(Data[Amount], Data[CustomerID], M535)</f>
        <v>107.06</v>
      </c>
    </row>
    <row r="536" spans="1:16" x14ac:dyDescent="0.25">
      <c r="A536">
        <v>1875</v>
      </c>
      <c r="B536">
        <v>875</v>
      </c>
      <c r="C536" s="1">
        <v>45282</v>
      </c>
      <c r="D536">
        <v>108.83</v>
      </c>
      <c r="E536" t="s">
        <v>15</v>
      </c>
      <c r="F536" t="s">
        <v>16</v>
      </c>
      <c r="G536">
        <f>COUNTIF(Data[CustomerID], Data[[#This Row],[CustomerID]])</f>
        <v>2</v>
      </c>
      <c r="H536" s="1" t="str">
        <f>TEXT(Data[OrderDate],"yyyy-mmm")</f>
        <v>2023-Dec</v>
      </c>
      <c r="I536">
        <f>IF(
   COUNTIFS(
      Data[CustomerID], Data[[#This Row],[CustomerID]],
      Data[OrderDate], "&lt;" &amp; EOMONTH(Data[[#This Row],[OrderDate]], -1) + 1
   ) &gt; 0,
   1,
   0
)</f>
        <v>0</v>
      </c>
      <c r="J536">
        <f>YEAR(Data[[#This Row],[OrderDate]])</f>
        <v>2023</v>
      </c>
      <c r="K536" s="2">
        <f>MONTH(Data[[#This Row],[OrderDate]])</f>
        <v>12</v>
      </c>
      <c r="M536" s="12">
        <v>1426</v>
      </c>
      <c r="N536" s="21">
        <f>MAX(Data[OrderDate])-_xlfn.MAXIFS(Data[OrderDate],Data[CustomerID],M536)</f>
        <v>203</v>
      </c>
      <c r="O536" s="22">
        <f>COUNTIFS(Data[CustomerID], M536)</f>
        <v>1</v>
      </c>
      <c r="P536" s="23">
        <f>SUMIFS(Data[Amount], Data[CustomerID], M536)</f>
        <v>105.45</v>
      </c>
    </row>
    <row r="537" spans="1:16" x14ac:dyDescent="0.25">
      <c r="A537">
        <v>1850</v>
      </c>
      <c r="B537">
        <v>800</v>
      </c>
      <c r="C537" s="1">
        <v>45283</v>
      </c>
      <c r="D537">
        <v>394.55</v>
      </c>
      <c r="E537" t="s">
        <v>15</v>
      </c>
      <c r="F537" t="s">
        <v>14</v>
      </c>
      <c r="G537">
        <f>COUNTIF(Data[CustomerID], Data[[#This Row],[CustomerID]])</f>
        <v>1</v>
      </c>
      <c r="H537" s="1" t="str">
        <f>TEXT(Data[OrderDate],"yyyy-mmm")</f>
        <v>2023-Dec</v>
      </c>
      <c r="I537">
        <f>IF(
   COUNTIFS(
      Data[CustomerID], Data[[#This Row],[CustomerID]],
      Data[OrderDate], "&lt;" &amp; EOMONTH(Data[[#This Row],[OrderDate]], -1) + 1
   ) &gt; 0,
   1,
   0
)</f>
        <v>0</v>
      </c>
      <c r="J537">
        <f>YEAR(Data[[#This Row],[OrderDate]])</f>
        <v>2023</v>
      </c>
      <c r="K537" s="2">
        <f>MONTH(Data[[#This Row],[OrderDate]])</f>
        <v>12</v>
      </c>
      <c r="M537" s="12">
        <v>1823</v>
      </c>
      <c r="N537" s="21">
        <f>MAX(Data[OrderDate])-_xlfn.MAXIFS(Data[OrderDate],Data[CustomerID],M537)</f>
        <v>199</v>
      </c>
      <c r="O537" s="22">
        <f>COUNTIFS(Data[CustomerID], M537)</f>
        <v>2</v>
      </c>
      <c r="P537" s="23">
        <f>SUMIFS(Data[Amount], Data[CustomerID], M537)</f>
        <v>103.33</v>
      </c>
    </row>
    <row r="538" spans="1:16" x14ac:dyDescent="0.25">
      <c r="A538">
        <v>1726</v>
      </c>
      <c r="B538">
        <v>553</v>
      </c>
      <c r="C538" s="1">
        <v>45285</v>
      </c>
      <c r="D538">
        <v>45.9</v>
      </c>
      <c r="E538" t="s">
        <v>11</v>
      </c>
      <c r="F538" t="s">
        <v>19</v>
      </c>
      <c r="G538">
        <f>COUNTIF(Data[CustomerID], Data[[#This Row],[CustomerID]])</f>
        <v>3</v>
      </c>
      <c r="H538" s="1" t="str">
        <f>TEXT(Data[OrderDate],"yyyy-mmm")</f>
        <v>2023-Dec</v>
      </c>
      <c r="I538">
        <f>IF(
   COUNTIFS(
      Data[CustomerID], Data[[#This Row],[CustomerID]],
      Data[OrderDate], "&lt;" &amp; EOMONTH(Data[[#This Row],[OrderDate]], -1) + 1
   ) &gt; 0,
   1,
   0
)</f>
        <v>1</v>
      </c>
      <c r="J538">
        <f>YEAR(Data[[#This Row],[OrderDate]])</f>
        <v>2023</v>
      </c>
      <c r="K538" s="2">
        <f>MONTH(Data[[#This Row],[OrderDate]])</f>
        <v>12</v>
      </c>
      <c r="M538" s="12">
        <v>1974</v>
      </c>
      <c r="N538" s="21">
        <f>MAX(Data[OrderDate])-_xlfn.MAXIFS(Data[OrderDate],Data[CustomerID],M538)</f>
        <v>50</v>
      </c>
      <c r="O538" s="22">
        <f>COUNTIFS(Data[CustomerID], M538)</f>
        <v>1</v>
      </c>
      <c r="P538" s="23">
        <f>SUMIFS(Data[Amount], Data[CustomerID], M538)</f>
        <v>102.59</v>
      </c>
    </row>
    <row r="539" spans="1:16" x14ac:dyDescent="0.25">
      <c r="A539">
        <v>1616</v>
      </c>
      <c r="B539">
        <v>735</v>
      </c>
      <c r="C539" s="1">
        <v>45285</v>
      </c>
      <c r="D539">
        <v>238.67</v>
      </c>
      <c r="E539" t="s">
        <v>11</v>
      </c>
      <c r="F539" t="s">
        <v>18</v>
      </c>
      <c r="G539">
        <f>COUNTIF(Data[CustomerID], Data[[#This Row],[CustomerID]])</f>
        <v>1</v>
      </c>
      <c r="H539" s="1" t="str">
        <f>TEXT(Data[OrderDate],"yyyy-mmm")</f>
        <v>2023-Dec</v>
      </c>
      <c r="I539">
        <f>IF(
   COUNTIFS(
      Data[CustomerID], Data[[#This Row],[CustomerID]],
      Data[OrderDate], "&lt;" &amp; EOMONTH(Data[[#This Row],[OrderDate]], -1) + 1
   ) &gt; 0,
   1,
   0
)</f>
        <v>0</v>
      </c>
      <c r="J539">
        <f>YEAR(Data[[#This Row],[OrderDate]])</f>
        <v>2023</v>
      </c>
      <c r="K539" s="2">
        <f>MONTH(Data[[#This Row],[OrderDate]])</f>
        <v>12</v>
      </c>
      <c r="M539" s="12">
        <v>1912</v>
      </c>
      <c r="N539" s="21">
        <f>MAX(Data[OrderDate])-_xlfn.MAXIFS(Data[OrderDate],Data[CustomerID],M539)</f>
        <v>660</v>
      </c>
      <c r="O539" s="22">
        <f>COUNTIFS(Data[CustomerID], M539)</f>
        <v>1</v>
      </c>
      <c r="P539" s="23">
        <f>SUMIFS(Data[Amount], Data[CustomerID], M539)</f>
        <v>101.94</v>
      </c>
    </row>
    <row r="540" spans="1:16" x14ac:dyDescent="0.25">
      <c r="A540">
        <v>1476</v>
      </c>
      <c r="B540">
        <v>97</v>
      </c>
      <c r="C540" s="1">
        <v>45286</v>
      </c>
      <c r="D540">
        <v>329.23</v>
      </c>
      <c r="E540" t="s">
        <v>6</v>
      </c>
      <c r="F540" t="s">
        <v>14</v>
      </c>
      <c r="G540">
        <f>COUNTIF(Data[CustomerID], Data[[#This Row],[CustomerID]])</f>
        <v>3</v>
      </c>
      <c r="H540" s="1" t="str">
        <f>TEXT(Data[OrderDate],"yyyy-mmm")</f>
        <v>2023-Dec</v>
      </c>
      <c r="I540">
        <f>IF(
   COUNTIFS(
      Data[CustomerID], Data[[#This Row],[CustomerID]],
      Data[OrderDate], "&lt;" &amp; EOMONTH(Data[[#This Row],[OrderDate]], -1) + 1
   ) &gt; 0,
   1,
   0
)</f>
        <v>0</v>
      </c>
      <c r="J540">
        <f>YEAR(Data[[#This Row],[OrderDate]])</f>
        <v>2023</v>
      </c>
      <c r="K540" s="2">
        <f>MONTH(Data[[#This Row],[OrderDate]])</f>
        <v>12</v>
      </c>
      <c r="M540" s="12">
        <v>1842</v>
      </c>
      <c r="N540" s="21">
        <f>MAX(Data[OrderDate])-_xlfn.MAXIFS(Data[OrderDate],Data[CustomerID],M540)</f>
        <v>399</v>
      </c>
      <c r="O540" s="22">
        <f>COUNTIFS(Data[CustomerID], M540)</f>
        <v>1</v>
      </c>
      <c r="P540" s="23">
        <f>SUMIFS(Data[Amount], Data[CustomerID], M540)</f>
        <v>101.83</v>
      </c>
    </row>
    <row r="541" spans="1:16" x14ac:dyDescent="0.25">
      <c r="A541">
        <v>1797</v>
      </c>
      <c r="B541">
        <v>450</v>
      </c>
      <c r="C541" s="1">
        <v>45286</v>
      </c>
      <c r="D541">
        <v>196.3</v>
      </c>
      <c r="E541" t="s">
        <v>9</v>
      </c>
      <c r="F541" t="s">
        <v>12</v>
      </c>
      <c r="G541">
        <f>COUNTIF(Data[CustomerID], Data[[#This Row],[CustomerID]])</f>
        <v>4</v>
      </c>
      <c r="H541" s="1" t="str">
        <f>TEXT(Data[OrderDate],"yyyy-mmm")</f>
        <v>2023-Dec</v>
      </c>
      <c r="I541">
        <f>IF(
   COUNTIFS(
      Data[CustomerID], Data[[#This Row],[CustomerID]],
      Data[OrderDate], "&lt;" &amp; EOMONTH(Data[[#This Row],[OrderDate]], -1) + 1
   ) &gt; 0,
   1,
   0
)</f>
        <v>1</v>
      </c>
      <c r="J541">
        <f>YEAR(Data[[#This Row],[OrderDate]])</f>
        <v>2023</v>
      </c>
      <c r="K541" s="2">
        <f>MONTH(Data[[#This Row],[OrderDate]])</f>
        <v>12</v>
      </c>
      <c r="M541" s="12">
        <v>1373</v>
      </c>
      <c r="N541" s="21">
        <f>MAX(Data[OrderDate])-_xlfn.MAXIFS(Data[OrderDate],Data[CustomerID],M541)</f>
        <v>687</v>
      </c>
      <c r="O541" s="22">
        <f>COUNTIFS(Data[CustomerID], M541)</f>
        <v>1</v>
      </c>
      <c r="P541" s="23">
        <f>SUMIFS(Data[Amount], Data[CustomerID], M541)</f>
        <v>101.31</v>
      </c>
    </row>
    <row r="542" spans="1:16" x14ac:dyDescent="0.25">
      <c r="A542">
        <v>1753</v>
      </c>
      <c r="B542">
        <v>887</v>
      </c>
      <c r="C542" s="1">
        <v>45286</v>
      </c>
      <c r="D542">
        <v>130.88999999999999</v>
      </c>
      <c r="E542" t="s">
        <v>20</v>
      </c>
      <c r="F542" t="s">
        <v>19</v>
      </c>
      <c r="G542">
        <f>COUNTIF(Data[CustomerID], Data[[#This Row],[CustomerID]])</f>
        <v>2</v>
      </c>
      <c r="H542" s="1" t="str">
        <f>TEXT(Data[OrderDate],"yyyy-mmm")</f>
        <v>2023-Dec</v>
      </c>
      <c r="I542">
        <f>IF(
   COUNTIFS(
      Data[CustomerID], Data[[#This Row],[CustomerID]],
      Data[OrderDate], "&lt;" &amp; EOMONTH(Data[[#This Row],[OrderDate]], -1) + 1
   ) &gt; 0,
   1,
   0
)</f>
        <v>0</v>
      </c>
      <c r="J542">
        <f>YEAR(Data[[#This Row],[OrderDate]])</f>
        <v>2023</v>
      </c>
      <c r="K542" s="2">
        <f>MONTH(Data[[#This Row],[OrderDate]])</f>
        <v>12</v>
      </c>
      <c r="M542" s="12">
        <v>1271</v>
      </c>
      <c r="N542" s="21">
        <f>MAX(Data[OrderDate])-_xlfn.MAXIFS(Data[OrderDate],Data[CustomerID],M542)</f>
        <v>59</v>
      </c>
      <c r="O542" s="22">
        <f>COUNTIFS(Data[CustomerID], M542)</f>
        <v>1</v>
      </c>
      <c r="P542" s="23">
        <f>SUMIFS(Data[Amount], Data[CustomerID], M542)</f>
        <v>101.01</v>
      </c>
    </row>
    <row r="543" spans="1:16" x14ac:dyDescent="0.25">
      <c r="A543">
        <v>1562</v>
      </c>
      <c r="B543">
        <v>443</v>
      </c>
      <c r="C543" s="1">
        <v>45287</v>
      </c>
      <c r="D543">
        <v>438.67</v>
      </c>
      <c r="E543" t="s">
        <v>13</v>
      </c>
      <c r="F543" t="s">
        <v>10</v>
      </c>
      <c r="G543">
        <f>COUNTIF(Data[CustomerID], Data[[#This Row],[CustomerID]])</f>
        <v>2</v>
      </c>
      <c r="H543" s="1" t="str">
        <f>TEXT(Data[OrderDate],"yyyy-mmm")</f>
        <v>2023-Dec</v>
      </c>
      <c r="I543">
        <f>IF(
   COUNTIFS(
      Data[CustomerID], Data[[#This Row],[CustomerID]],
      Data[OrderDate], "&lt;" &amp; EOMONTH(Data[[#This Row],[OrderDate]], -1) + 1
   ) &gt; 0,
   1,
   0
)</f>
        <v>1</v>
      </c>
      <c r="J543">
        <f>YEAR(Data[[#This Row],[OrderDate]])</f>
        <v>2023</v>
      </c>
      <c r="K543" s="2">
        <f>MONTH(Data[[#This Row],[OrderDate]])</f>
        <v>12</v>
      </c>
      <c r="M543" s="12">
        <v>1283</v>
      </c>
      <c r="N543" s="21">
        <f>MAX(Data[OrderDate])-_xlfn.MAXIFS(Data[OrderDate],Data[CustomerID],M543)</f>
        <v>373</v>
      </c>
      <c r="O543" s="22">
        <f>COUNTIFS(Data[CustomerID], M543)</f>
        <v>1</v>
      </c>
      <c r="P543" s="23">
        <f>SUMIFS(Data[Amount], Data[CustomerID], M543)</f>
        <v>99.93</v>
      </c>
    </row>
    <row r="544" spans="1:16" x14ac:dyDescent="0.25">
      <c r="A544">
        <v>1779</v>
      </c>
      <c r="B544">
        <v>158</v>
      </c>
      <c r="C544" s="1">
        <v>45289</v>
      </c>
      <c r="D544">
        <v>94.11</v>
      </c>
      <c r="E544" t="s">
        <v>9</v>
      </c>
      <c r="F544" t="s">
        <v>7</v>
      </c>
      <c r="G544">
        <f>COUNTIF(Data[CustomerID], Data[[#This Row],[CustomerID]])</f>
        <v>2</v>
      </c>
      <c r="H544" s="1" t="str">
        <f>TEXT(Data[OrderDate],"yyyy-mmm")</f>
        <v>2023-Dec</v>
      </c>
      <c r="I544">
        <f>IF(
   COUNTIFS(
      Data[CustomerID], Data[[#This Row],[CustomerID]],
      Data[OrderDate], "&lt;" &amp; EOMONTH(Data[[#This Row],[OrderDate]], -1) + 1
   ) &gt; 0,
   1,
   0
)</f>
        <v>0</v>
      </c>
      <c r="J544">
        <f>YEAR(Data[[#This Row],[OrderDate]])</f>
        <v>2023</v>
      </c>
      <c r="K544" s="2">
        <f>MONTH(Data[[#This Row],[OrderDate]])</f>
        <v>12</v>
      </c>
      <c r="M544" s="12">
        <v>1000</v>
      </c>
      <c r="N544" s="21">
        <f>MAX(Data[OrderDate])-_xlfn.MAXIFS(Data[OrderDate],Data[CustomerID],M544)</f>
        <v>467</v>
      </c>
      <c r="O544" s="22">
        <f>COUNTIFS(Data[CustomerID], M544)</f>
        <v>1</v>
      </c>
      <c r="P544" s="23">
        <f>SUMIFS(Data[Amount], Data[CustomerID], M544)</f>
        <v>99.67</v>
      </c>
    </row>
    <row r="545" spans="1:16" x14ac:dyDescent="0.25">
      <c r="A545">
        <v>1036</v>
      </c>
      <c r="B545">
        <v>374</v>
      </c>
      <c r="C545" s="1">
        <v>45289</v>
      </c>
      <c r="D545">
        <v>194.35</v>
      </c>
      <c r="E545" t="s">
        <v>17</v>
      </c>
      <c r="F545" t="s">
        <v>7</v>
      </c>
      <c r="G545">
        <f>COUNTIF(Data[CustomerID], Data[[#This Row],[CustomerID]])</f>
        <v>3</v>
      </c>
      <c r="H545" s="1" t="str">
        <f>TEXT(Data[OrderDate],"yyyy-mmm")</f>
        <v>2023-Dec</v>
      </c>
      <c r="I545">
        <f>IF(
   COUNTIFS(
      Data[CustomerID], Data[[#This Row],[CustomerID]],
      Data[OrderDate], "&lt;" &amp; EOMONTH(Data[[#This Row],[OrderDate]], -1) + 1
   ) &gt; 0,
   1,
   0
)</f>
        <v>0</v>
      </c>
      <c r="J545">
        <f>YEAR(Data[[#This Row],[OrderDate]])</f>
        <v>2023</v>
      </c>
      <c r="K545" s="2">
        <f>MONTH(Data[[#This Row],[OrderDate]])</f>
        <v>12</v>
      </c>
      <c r="M545" s="12">
        <v>1980</v>
      </c>
      <c r="N545" s="21">
        <f>MAX(Data[OrderDate])-_xlfn.MAXIFS(Data[OrderDate],Data[CustomerID],M545)</f>
        <v>351</v>
      </c>
      <c r="O545" s="22">
        <f>COUNTIFS(Data[CustomerID], M545)</f>
        <v>1</v>
      </c>
      <c r="P545" s="23">
        <f>SUMIFS(Data[Amount], Data[CustomerID], M545)</f>
        <v>98.9</v>
      </c>
    </row>
    <row r="546" spans="1:16" x14ac:dyDescent="0.25">
      <c r="A546">
        <v>1268</v>
      </c>
      <c r="B546">
        <v>593</v>
      </c>
      <c r="C546" s="1">
        <v>45289</v>
      </c>
      <c r="D546">
        <v>132.91999999999999</v>
      </c>
      <c r="E546" t="s">
        <v>8</v>
      </c>
      <c r="F546" t="s">
        <v>16</v>
      </c>
      <c r="G546">
        <f>COUNTIF(Data[CustomerID], Data[[#This Row],[CustomerID]])</f>
        <v>1</v>
      </c>
      <c r="H546" s="1" t="str">
        <f>TEXT(Data[OrderDate],"yyyy-mmm")</f>
        <v>2023-Dec</v>
      </c>
      <c r="I546">
        <f>IF(
   COUNTIFS(
      Data[CustomerID], Data[[#This Row],[CustomerID]],
      Data[OrderDate], "&lt;" &amp; EOMONTH(Data[[#This Row],[OrderDate]], -1) + 1
   ) &gt; 0,
   1,
   0
)</f>
        <v>0</v>
      </c>
      <c r="J546">
        <f>YEAR(Data[[#This Row],[OrderDate]])</f>
        <v>2023</v>
      </c>
      <c r="K546" s="2">
        <f>MONTH(Data[[#This Row],[OrderDate]])</f>
        <v>12</v>
      </c>
      <c r="M546" s="12">
        <v>1684</v>
      </c>
      <c r="N546" s="21">
        <f>MAX(Data[OrderDate])-_xlfn.MAXIFS(Data[OrderDate],Data[CustomerID],M546)</f>
        <v>194</v>
      </c>
      <c r="O546" s="22">
        <f>COUNTIFS(Data[CustomerID], M546)</f>
        <v>2</v>
      </c>
      <c r="P546" s="23">
        <f>SUMIFS(Data[Amount], Data[CustomerID], M546)</f>
        <v>98.13</v>
      </c>
    </row>
    <row r="547" spans="1:16" x14ac:dyDescent="0.25">
      <c r="A547">
        <v>1516</v>
      </c>
      <c r="B547">
        <v>852</v>
      </c>
      <c r="C547" s="1">
        <v>45289</v>
      </c>
      <c r="D547">
        <v>185.03</v>
      </c>
      <c r="E547" t="s">
        <v>8</v>
      </c>
      <c r="F547" t="s">
        <v>10</v>
      </c>
      <c r="G547">
        <f>COUNTIF(Data[CustomerID], Data[[#This Row],[CustomerID]])</f>
        <v>1</v>
      </c>
      <c r="H547" s="1" t="str">
        <f>TEXT(Data[OrderDate],"yyyy-mmm")</f>
        <v>2023-Dec</v>
      </c>
      <c r="I547">
        <f>IF(
   COUNTIFS(
      Data[CustomerID], Data[[#This Row],[CustomerID]],
      Data[OrderDate], "&lt;" &amp; EOMONTH(Data[[#This Row],[OrderDate]], -1) + 1
   ) &gt; 0,
   1,
   0
)</f>
        <v>0</v>
      </c>
      <c r="J547">
        <f>YEAR(Data[[#This Row],[OrderDate]])</f>
        <v>2023</v>
      </c>
      <c r="K547" s="2">
        <f>MONTH(Data[[#This Row],[OrderDate]])</f>
        <v>12</v>
      </c>
      <c r="M547" s="12">
        <v>1657</v>
      </c>
      <c r="N547" s="21">
        <f>MAX(Data[OrderDate])-_xlfn.MAXIFS(Data[OrderDate],Data[CustomerID],M547)</f>
        <v>476</v>
      </c>
      <c r="O547" s="22">
        <f>COUNTIFS(Data[CustomerID], M547)</f>
        <v>1</v>
      </c>
      <c r="P547" s="23">
        <f>SUMIFS(Data[Amount], Data[CustomerID], M547)</f>
        <v>97.43</v>
      </c>
    </row>
    <row r="548" spans="1:16" x14ac:dyDescent="0.25">
      <c r="A548">
        <v>1069</v>
      </c>
      <c r="B548">
        <v>870</v>
      </c>
      <c r="C548" s="1">
        <v>45289</v>
      </c>
      <c r="D548">
        <v>69.260000000000005</v>
      </c>
      <c r="E548" t="s">
        <v>13</v>
      </c>
      <c r="F548" t="s">
        <v>10</v>
      </c>
      <c r="G548">
        <f>COUNTIF(Data[CustomerID], Data[[#This Row],[CustomerID]])</f>
        <v>1</v>
      </c>
      <c r="H548" s="1" t="str">
        <f>TEXT(Data[OrderDate],"yyyy-mmm")</f>
        <v>2023-Dec</v>
      </c>
      <c r="I548">
        <f>IF(
   COUNTIFS(
      Data[CustomerID], Data[[#This Row],[CustomerID]],
      Data[OrderDate], "&lt;" &amp; EOMONTH(Data[[#This Row],[OrderDate]], -1) + 1
   ) &gt; 0,
   1,
   0
)</f>
        <v>0</v>
      </c>
      <c r="J548">
        <f>YEAR(Data[[#This Row],[OrderDate]])</f>
        <v>2023</v>
      </c>
      <c r="K548" s="2">
        <f>MONTH(Data[[#This Row],[OrderDate]])</f>
        <v>12</v>
      </c>
      <c r="M548" s="12">
        <v>1368</v>
      </c>
      <c r="N548" s="21">
        <f>MAX(Data[OrderDate])-_xlfn.MAXIFS(Data[OrderDate],Data[CustomerID],M548)</f>
        <v>40</v>
      </c>
      <c r="O548" s="22">
        <f>COUNTIFS(Data[CustomerID], M548)</f>
        <v>2</v>
      </c>
      <c r="P548" s="23">
        <f>SUMIFS(Data[Amount], Data[CustomerID], M548)</f>
        <v>97.16</v>
      </c>
    </row>
    <row r="549" spans="1:16" x14ac:dyDescent="0.25">
      <c r="A549">
        <v>1019</v>
      </c>
      <c r="B549">
        <v>539</v>
      </c>
      <c r="C549" s="1">
        <v>45290</v>
      </c>
      <c r="D549">
        <v>22.61</v>
      </c>
      <c r="E549" t="s">
        <v>8</v>
      </c>
      <c r="F549" t="s">
        <v>12</v>
      </c>
      <c r="G549">
        <f>COUNTIF(Data[CustomerID], Data[[#This Row],[CustomerID]])</f>
        <v>1</v>
      </c>
      <c r="H549" s="1" t="str">
        <f>TEXT(Data[OrderDate],"yyyy-mmm")</f>
        <v>2023-Dec</v>
      </c>
      <c r="I549">
        <f>IF(
   COUNTIFS(
      Data[CustomerID], Data[[#This Row],[CustomerID]],
      Data[OrderDate], "&lt;" &amp; EOMONTH(Data[[#This Row],[OrderDate]], -1) + 1
   ) &gt; 0,
   1,
   0
)</f>
        <v>0</v>
      </c>
      <c r="J549">
        <f>YEAR(Data[[#This Row],[OrderDate]])</f>
        <v>2023</v>
      </c>
      <c r="K549" s="2">
        <f>MONTH(Data[[#This Row],[OrderDate]])</f>
        <v>12</v>
      </c>
      <c r="M549" s="12">
        <v>1609</v>
      </c>
      <c r="N549" s="21">
        <f>MAX(Data[OrderDate])-_xlfn.MAXIFS(Data[OrderDate],Data[CustomerID],M549)</f>
        <v>197</v>
      </c>
      <c r="O549" s="22">
        <f>COUNTIFS(Data[CustomerID], M549)</f>
        <v>1</v>
      </c>
      <c r="P549" s="23">
        <f>SUMIFS(Data[Amount], Data[CustomerID], M549)</f>
        <v>93.33</v>
      </c>
    </row>
    <row r="550" spans="1:16" x14ac:dyDescent="0.25">
      <c r="A550">
        <v>1928</v>
      </c>
      <c r="B550">
        <v>702</v>
      </c>
      <c r="C550" s="1">
        <v>45290</v>
      </c>
      <c r="D550">
        <v>374.87</v>
      </c>
      <c r="E550" t="s">
        <v>11</v>
      </c>
      <c r="F550" t="s">
        <v>18</v>
      </c>
      <c r="G550">
        <f>COUNTIF(Data[CustomerID], Data[[#This Row],[CustomerID]])</f>
        <v>5</v>
      </c>
      <c r="H550" s="1" t="str">
        <f>TEXT(Data[OrderDate],"yyyy-mmm")</f>
        <v>2023-Dec</v>
      </c>
      <c r="I550">
        <f>IF(
   COUNTIFS(
      Data[CustomerID], Data[[#This Row],[CustomerID]],
      Data[OrderDate], "&lt;" &amp; EOMONTH(Data[[#This Row],[OrderDate]], -1) + 1
   ) &gt; 0,
   1,
   0
)</f>
        <v>1</v>
      </c>
      <c r="J550">
        <f>YEAR(Data[[#This Row],[OrderDate]])</f>
        <v>2023</v>
      </c>
      <c r="K550" s="2">
        <f>MONTH(Data[[#This Row],[OrderDate]])</f>
        <v>12</v>
      </c>
      <c r="M550" s="12">
        <v>1431</v>
      </c>
      <c r="N550" s="21">
        <f>MAX(Data[OrderDate])-_xlfn.MAXIFS(Data[OrderDate],Data[CustomerID],M550)</f>
        <v>215</v>
      </c>
      <c r="O550" s="22">
        <f>COUNTIFS(Data[CustomerID], M550)</f>
        <v>1</v>
      </c>
      <c r="P550" s="23">
        <f>SUMIFS(Data[Amount], Data[CustomerID], M550)</f>
        <v>93.29</v>
      </c>
    </row>
    <row r="551" spans="1:16" x14ac:dyDescent="0.25">
      <c r="A551">
        <v>1772</v>
      </c>
      <c r="B551">
        <v>150</v>
      </c>
      <c r="C551" s="1">
        <v>45291</v>
      </c>
      <c r="D551">
        <v>272.25</v>
      </c>
      <c r="E551" t="s">
        <v>20</v>
      </c>
      <c r="F551" t="s">
        <v>16</v>
      </c>
      <c r="G551">
        <f>COUNTIF(Data[CustomerID], Data[[#This Row],[CustomerID]])</f>
        <v>1</v>
      </c>
      <c r="H551" s="1" t="str">
        <f>TEXT(Data[OrderDate],"yyyy-mmm")</f>
        <v>2023-Dec</v>
      </c>
      <c r="I551">
        <f>IF(
   COUNTIFS(
      Data[CustomerID], Data[[#This Row],[CustomerID]],
      Data[OrderDate], "&lt;" &amp; EOMONTH(Data[[#This Row],[OrderDate]], -1) + 1
   ) &gt; 0,
   1,
   0
)</f>
        <v>0</v>
      </c>
      <c r="J551">
        <f>YEAR(Data[[#This Row],[OrderDate]])</f>
        <v>2023</v>
      </c>
      <c r="K551" s="2">
        <f>MONTH(Data[[#This Row],[OrderDate]])</f>
        <v>12</v>
      </c>
      <c r="M551" s="12">
        <v>1048</v>
      </c>
      <c r="N551" s="21">
        <f>MAX(Data[OrderDate])-_xlfn.MAXIFS(Data[OrderDate],Data[CustomerID],M551)</f>
        <v>414</v>
      </c>
      <c r="O551" s="22">
        <f>COUNTIFS(Data[CustomerID], M551)</f>
        <v>1</v>
      </c>
      <c r="P551" s="23">
        <f>SUMIFS(Data[Amount], Data[CustomerID], M551)</f>
        <v>92.99</v>
      </c>
    </row>
    <row r="552" spans="1:16" x14ac:dyDescent="0.25">
      <c r="A552">
        <v>1095</v>
      </c>
      <c r="B552">
        <v>621</v>
      </c>
      <c r="C552" s="1">
        <v>45291</v>
      </c>
      <c r="D552">
        <v>290.7</v>
      </c>
      <c r="E552" t="s">
        <v>13</v>
      </c>
      <c r="F552" t="s">
        <v>7</v>
      </c>
      <c r="G552">
        <f>COUNTIF(Data[CustomerID], Data[[#This Row],[CustomerID]])</f>
        <v>3</v>
      </c>
      <c r="H552" s="1" t="str">
        <f>TEXT(Data[OrderDate],"yyyy-mmm")</f>
        <v>2023-Dec</v>
      </c>
      <c r="I552">
        <f>IF(
   COUNTIFS(
      Data[CustomerID], Data[[#This Row],[CustomerID]],
      Data[OrderDate], "&lt;" &amp; EOMONTH(Data[[#This Row],[OrderDate]], -1) + 1
   ) &gt; 0,
   1,
   0
)</f>
        <v>1</v>
      </c>
      <c r="J552">
        <f>YEAR(Data[[#This Row],[OrderDate]])</f>
        <v>2023</v>
      </c>
      <c r="K552" s="2">
        <f>MONTH(Data[[#This Row],[OrderDate]])</f>
        <v>12</v>
      </c>
      <c r="M552" s="12">
        <v>1129</v>
      </c>
      <c r="N552" s="21">
        <f>MAX(Data[OrderDate])-_xlfn.MAXIFS(Data[OrderDate],Data[CustomerID],M552)</f>
        <v>126</v>
      </c>
      <c r="O552" s="22">
        <f>COUNTIFS(Data[CustomerID], M552)</f>
        <v>1</v>
      </c>
      <c r="P552" s="23">
        <f>SUMIFS(Data[Amount], Data[CustomerID], M552)</f>
        <v>91.51</v>
      </c>
    </row>
    <row r="553" spans="1:16" x14ac:dyDescent="0.25">
      <c r="A553">
        <v>1659</v>
      </c>
      <c r="B553">
        <v>891</v>
      </c>
      <c r="C553" s="1">
        <v>45291</v>
      </c>
      <c r="D553">
        <v>125.95</v>
      </c>
      <c r="E553" t="s">
        <v>11</v>
      </c>
      <c r="F553" t="s">
        <v>10</v>
      </c>
      <c r="G553">
        <f>COUNTIF(Data[CustomerID], Data[[#This Row],[CustomerID]])</f>
        <v>2</v>
      </c>
      <c r="H553" s="1" t="str">
        <f>TEXT(Data[OrderDate],"yyyy-mmm")</f>
        <v>2023-Dec</v>
      </c>
      <c r="I553">
        <f>IF(
   COUNTIFS(
      Data[CustomerID], Data[[#This Row],[CustomerID]],
      Data[OrderDate], "&lt;" &amp; EOMONTH(Data[[#This Row],[OrderDate]], -1) + 1
   ) &gt; 0,
   1,
   0
)</f>
        <v>1</v>
      </c>
      <c r="J553">
        <f>YEAR(Data[[#This Row],[OrderDate]])</f>
        <v>2023</v>
      </c>
      <c r="K553" s="2">
        <f>MONTH(Data[[#This Row],[OrderDate]])</f>
        <v>12</v>
      </c>
      <c r="M553" s="12">
        <v>1508</v>
      </c>
      <c r="N553" s="21">
        <f>MAX(Data[OrderDate])-_xlfn.MAXIFS(Data[OrderDate],Data[CustomerID],M553)</f>
        <v>299</v>
      </c>
      <c r="O553" s="22">
        <f>COUNTIFS(Data[CustomerID], M553)</f>
        <v>1</v>
      </c>
      <c r="P553" s="23">
        <f>SUMIFS(Data[Amount], Data[CustomerID], M553)</f>
        <v>91.23</v>
      </c>
    </row>
    <row r="554" spans="1:16" x14ac:dyDescent="0.25">
      <c r="A554">
        <v>1866</v>
      </c>
      <c r="B554">
        <v>773</v>
      </c>
      <c r="C554" s="1">
        <v>45292</v>
      </c>
      <c r="D554">
        <v>473.78</v>
      </c>
      <c r="E554" t="s">
        <v>15</v>
      </c>
      <c r="F554" t="s">
        <v>19</v>
      </c>
      <c r="G554">
        <f>COUNTIF(Data[CustomerID], Data[[#This Row],[CustomerID]])</f>
        <v>3</v>
      </c>
      <c r="H554" s="1" t="str">
        <f>TEXT(Data[OrderDate],"yyyy-mmm")</f>
        <v>2024-Jan</v>
      </c>
      <c r="I554">
        <f>IF(
   COUNTIFS(
      Data[CustomerID], Data[[#This Row],[CustomerID]],
      Data[OrderDate], "&lt;" &amp; EOMONTH(Data[[#This Row],[OrderDate]], -1) + 1
   ) &gt; 0,
   1,
   0
)</f>
        <v>0</v>
      </c>
      <c r="J554">
        <f>YEAR(Data[[#This Row],[OrderDate]])</f>
        <v>2024</v>
      </c>
      <c r="K554" s="2">
        <f>MONTH(Data[[#This Row],[OrderDate]])</f>
        <v>1</v>
      </c>
      <c r="M554" s="12">
        <v>1045</v>
      </c>
      <c r="N554" s="21">
        <f>MAX(Data[OrderDate])-_xlfn.MAXIFS(Data[OrderDate],Data[CustomerID],M554)</f>
        <v>525</v>
      </c>
      <c r="O554" s="22">
        <f>COUNTIFS(Data[CustomerID], M554)</f>
        <v>1</v>
      </c>
      <c r="P554" s="23">
        <f>SUMIFS(Data[Amount], Data[CustomerID], M554)</f>
        <v>91.01</v>
      </c>
    </row>
    <row r="555" spans="1:16" x14ac:dyDescent="0.25">
      <c r="A555">
        <v>1857</v>
      </c>
      <c r="B555">
        <v>190</v>
      </c>
      <c r="C555" s="1">
        <v>45295</v>
      </c>
      <c r="D555">
        <v>125.85</v>
      </c>
      <c r="E555" t="s">
        <v>8</v>
      </c>
      <c r="F555" t="s">
        <v>12</v>
      </c>
      <c r="G555">
        <f>COUNTIF(Data[CustomerID], Data[[#This Row],[CustomerID]])</f>
        <v>2</v>
      </c>
      <c r="H555" s="1" t="str">
        <f>TEXT(Data[OrderDate],"yyyy-mmm")</f>
        <v>2024-Jan</v>
      </c>
      <c r="I555">
        <f>IF(
   COUNTIFS(
      Data[CustomerID], Data[[#This Row],[CustomerID]],
      Data[OrderDate], "&lt;" &amp; EOMONTH(Data[[#This Row],[OrderDate]], -1) + 1
   ) &gt; 0,
   1,
   0
)</f>
        <v>1</v>
      </c>
      <c r="J555">
        <f>YEAR(Data[[#This Row],[OrderDate]])</f>
        <v>2024</v>
      </c>
      <c r="K555" s="2">
        <f>MONTH(Data[[#This Row],[OrderDate]])</f>
        <v>1</v>
      </c>
      <c r="M555" s="12">
        <v>1133</v>
      </c>
      <c r="N555" s="21">
        <f>MAX(Data[OrderDate])-_xlfn.MAXIFS(Data[OrderDate],Data[CustomerID],M555)</f>
        <v>176</v>
      </c>
      <c r="O555" s="22">
        <f>COUNTIFS(Data[CustomerID], M555)</f>
        <v>1</v>
      </c>
      <c r="P555" s="23">
        <f>SUMIFS(Data[Amount], Data[CustomerID], M555)</f>
        <v>87.73</v>
      </c>
    </row>
    <row r="556" spans="1:16" x14ac:dyDescent="0.25">
      <c r="A556">
        <v>1913</v>
      </c>
      <c r="B556">
        <v>405</v>
      </c>
      <c r="C556" s="1">
        <v>45297</v>
      </c>
      <c r="D556">
        <v>198.57</v>
      </c>
      <c r="E556" t="s">
        <v>15</v>
      </c>
      <c r="F556" t="s">
        <v>12</v>
      </c>
      <c r="G556">
        <f>COUNTIF(Data[CustomerID], Data[[#This Row],[CustomerID]])</f>
        <v>1</v>
      </c>
      <c r="H556" s="1" t="str">
        <f>TEXT(Data[OrderDate],"yyyy-mmm")</f>
        <v>2024-Jan</v>
      </c>
      <c r="I556">
        <f>IF(
   COUNTIFS(
      Data[CustomerID], Data[[#This Row],[CustomerID]],
      Data[OrderDate], "&lt;" &amp; EOMONTH(Data[[#This Row],[OrderDate]], -1) + 1
   ) &gt; 0,
   1,
   0
)</f>
        <v>0</v>
      </c>
      <c r="J556">
        <f>YEAR(Data[[#This Row],[OrderDate]])</f>
        <v>2024</v>
      </c>
      <c r="K556" s="2">
        <f>MONTH(Data[[#This Row],[OrderDate]])</f>
        <v>1</v>
      </c>
      <c r="M556" s="12">
        <v>1834</v>
      </c>
      <c r="N556" s="21">
        <f>MAX(Data[OrderDate])-_xlfn.MAXIFS(Data[OrderDate],Data[CustomerID],M556)</f>
        <v>303</v>
      </c>
      <c r="O556" s="22">
        <f>COUNTIFS(Data[CustomerID], M556)</f>
        <v>1</v>
      </c>
      <c r="P556" s="23">
        <f>SUMIFS(Data[Amount], Data[CustomerID], M556)</f>
        <v>86.82</v>
      </c>
    </row>
    <row r="557" spans="1:16" x14ac:dyDescent="0.25">
      <c r="A557">
        <v>1476</v>
      </c>
      <c r="B557">
        <v>469</v>
      </c>
      <c r="C557" s="1">
        <v>45297</v>
      </c>
      <c r="D557">
        <v>114.3</v>
      </c>
      <c r="E557" t="s">
        <v>6</v>
      </c>
      <c r="F557" t="s">
        <v>18</v>
      </c>
      <c r="G557">
        <f>COUNTIF(Data[CustomerID], Data[[#This Row],[CustomerID]])</f>
        <v>3</v>
      </c>
      <c r="H557" s="1" t="str">
        <f>TEXT(Data[OrderDate],"yyyy-mmm")</f>
        <v>2024-Jan</v>
      </c>
      <c r="I557">
        <f>IF(
   COUNTIFS(
      Data[CustomerID], Data[[#This Row],[CustomerID]],
      Data[OrderDate], "&lt;" &amp; EOMONTH(Data[[#This Row],[OrderDate]], -1) + 1
   ) &gt; 0,
   1,
   0
)</f>
        <v>1</v>
      </c>
      <c r="J557">
        <f>YEAR(Data[[#This Row],[OrderDate]])</f>
        <v>2024</v>
      </c>
      <c r="K557" s="2">
        <f>MONTH(Data[[#This Row],[OrderDate]])</f>
        <v>1</v>
      </c>
      <c r="M557" s="12">
        <v>1831</v>
      </c>
      <c r="N557" s="21">
        <f>MAX(Data[OrderDate])-_xlfn.MAXIFS(Data[OrderDate],Data[CustomerID],M557)</f>
        <v>397</v>
      </c>
      <c r="O557" s="22">
        <f>COUNTIFS(Data[CustomerID], M557)</f>
        <v>1</v>
      </c>
      <c r="P557" s="23">
        <f>SUMIFS(Data[Amount], Data[CustomerID], M557)</f>
        <v>86.18</v>
      </c>
    </row>
    <row r="558" spans="1:16" x14ac:dyDescent="0.25">
      <c r="A558">
        <v>1105</v>
      </c>
      <c r="B558">
        <v>596</v>
      </c>
      <c r="C558" s="1">
        <v>45297</v>
      </c>
      <c r="D558">
        <v>114.43</v>
      </c>
      <c r="E558" t="s">
        <v>20</v>
      </c>
      <c r="F558" t="s">
        <v>14</v>
      </c>
      <c r="G558">
        <f>COUNTIF(Data[CustomerID], Data[[#This Row],[CustomerID]])</f>
        <v>2</v>
      </c>
      <c r="H558" s="1" t="str">
        <f>TEXT(Data[OrderDate],"yyyy-mmm")</f>
        <v>2024-Jan</v>
      </c>
      <c r="I558">
        <f>IF(
   COUNTIFS(
      Data[CustomerID], Data[[#This Row],[CustomerID]],
      Data[OrderDate], "&lt;" &amp; EOMONTH(Data[[#This Row],[OrderDate]], -1) + 1
   ) &gt; 0,
   1,
   0
)</f>
        <v>1</v>
      </c>
      <c r="J558">
        <f>YEAR(Data[[#This Row],[OrderDate]])</f>
        <v>2024</v>
      </c>
      <c r="K558" s="2">
        <f>MONTH(Data[[#This Row],[OrderDate]])</f>
        <v>1</v>
      </c>
      <c r="M558" s="12">
        <v>1876</v>
      </c>
      <c r="N558" s="21">
        <f>MAX(Data[OrderDate])-_xlfn.MAXIFS(Data[OrderDate],Data[CustomerID],M558)</f>
        <v>90</v>
      </c>
      <c r="O558" s="22">
        <f>COUNTIFS(Data[CustomerID], M558)</f>
        <v>1</v>
      </c>
      <c r="P558" s="23">
        <f>SUMIFS(Data[Amount], Data[CustomerID], M558)</f>
        <v>86.02</v>
      </c>
    </row>
    <row r="559" spans="1:16" x14ac:dyDescent="0.25">
      <c r="A559">
        <v>1335</v>
      </c>
      <c r="B559">
        <v>687</v>
      </c>
      <c r="C559" s="1">
        <v>45298</v>
      </c>
      <c r="D559">
        <v>65.58</v>
      </c>
      <c r="E559" t="s">
        <v>17</v>
      </c>
      <c r="F559" t="s">
        <v>16</v>
      </c>
      <c r="G559">
        <f>COUNTIF(Data[CustomerID], Data[[#This Row],[CustomerID]])</f>
        <v>1</v>
      </c>
      <c r="H559" s="1" t="str">
        <f>TEXT(Data[OrderDate],"yyyy-mmm")</f>
        <v>2024-Jan</v>
      </c>
      <c r="I559">
        <f>IF(
   COUNTIFS(
      Data[CustomerID], Data[[#This Row],[CustomerID]],
      Data[OrderDate], "&lt;" &amp; EOMONTH(Data[[#This Row],[OrderDate]], -1) + 1
   ) &gt; 0,
   1,
   0
)</f>
        <v>0</v>
      </c>
      <c r="J559">
        <f>YEAR(Data[[#This Row],[OrderDate]])</f>
        <v>2024</v>
      </c>
      <c r="K559" s="2">
        <f>MONTH(Data[[#This Row],[OrderDate]])</f>
        <v>1</v>
      </c>
      <c r="M559" s="12">
        <v>1013</v>
      </c>
      <c r="N559" s="21">
        <f>MAX(Data[OrderDate])-_xlfn.MAXIFS(Data[OrderDate],Data[CustomerID],M559)</f>
        <v>392</v>
      </c>
      <c r="O559" s="22">
        <f>COUNTIFS(Data[CustomerID], M559)</f>
        <v>1</v>
      </c>
      <c r="P559" s="23">
        <f>SUMIFS(Data[Amount], Data[CustomerID], M559)</f>
        <v>85.03</v>
      </c>
    </row>
    <row r="560" spans="1:16" x14ac:dyDescent="0.25">
      <c r="A560">
        <v>1860</v>
      </c>
      <c r="B560">
        <v>3</v>
      </c>
      <c r="C560" s="1">
        <v>45300</v>
      </c>
      <c r="D560">
        <v>79.040000000000006</v>
      </c>
      <c r="E560" t="s">
        <v>9</v>
      </c>
      <c r="F560" t="s">
        <v>10</v>
      </c>
      <c r="G560">
        <f>COUNTIF(Data[CustomerID], Data[[#This Row],[CustomerID]])</f>
        <v>3</v>
      </c>
      <c r="H560" s="1" t="str">
        <f>TEXT(Data[OrderDate],"yyyy-mmm")</f>
        <v>2024-Jan</v>
      </c>
      <c r="I560">
        <f>IF(
   COUNTIFS(
      Data[CustomerID], Data[[#This Row],[CustomerID]],
      Data[OrderDate], "&lt;" &amp; EOMONTH(Data[[#This Row],[OrderDate]], -1) + 1
   ) &gt; 0,
   1,
   0
)</f>
        <v>1</v>
      </c>
      <c r="J560">
        <f>YEAR(Data[[#This Row],[OrderDate]])</f>
        <v>2024</v>
      </c>
      <c r="K560" s="2">
        <f>MONTH(Data[[#This Row],[OrderDate]])</f>
        <v>1</v>
      </c>
      <c r="M560" s="12">
        <v>1559</v>
      </c>
      <c r="N560" s="21">
        <f>MAX(Data[OrderDate])-_xlfn.MAXIFS(Data[OrderDate],Data[CustomerID],M560)</f>
        <v>546</v>
      </c>
      <c r="O560" s="22">
        <f>COUNTIFS(Data[CustomerID], M560)</f>
        <v>1</v>
      </c>
      <c r="P560" s="23">
        <f>SUMIFS(Data[Amount], Data[CustomerID], M560)</f>
        <v>84.62</v>
      </c>
    </row>
    <row r="561" spans="1:16" x14ac:dyDescent="0.25">
      <c r="A561">
        <v>1771</v>
      </c>
      <c r="B561">
        <v>95</v>
      </c>
      <c r="C561" s="1">
        <v>45300</v>
      </c>
      <c r="D561">
        <v>300.87</v>
      </c>
      <c r="E561" t="s">
        <v>11</v>
      </c>
      <c r="F561" t="s">
        <v>14</v>
      </c>
      <c r="G561">
        <f>COUNTIF(Data[CustomerID], Data[[#This Row],[CustomerID]])</f>
        <v>1</v>
      </c>
      <c r="H561" s="1" t="str">
        <f>TEXT(Data[OrderDate],"yyyy-mmm")</f>
        <v>2024-Jan</v>
      </c>
      <c r="I561">
        <f>IF(
   COUNTIFS(
      Data[CustomerID], Data[[#This Row],[CustomerID]],
      Data[OrderDate], "&lt;" &amp; EOMONTH(Data[[#This Row],[OrderDate]], -1) + 1
   ) &gt; 0,
   1,
   0
)</f>
        <v>0</v>
      </c>
      <c r="J561">
        <f>YEAR(Data[[#This Row],[OrderDate]])</f>
        <v>2024</v>
      </c>
      <c r="K561" s="2">
        <f>MONTH(Data[[#This Row],[OrderDate]])</f>
        <v>1</v>
      </c>
      <c r="M561" s="12">
        <v>1263</v>
      </c>
      <c r="N561" s="21">
        <f>MAX(Data[OrderDate])-_xlfn.MAXIFS(Data[OrderDate],Data[CustomerID],M561)</f>
        <v>112</v>
      </c>
      <c r="O561" s="22">
        <f>COUNTIFS(Data[CustomerID], M561)</f>
        <v>1</v>
      </c>
      <c r="P561" s="23">
        <f>SUMIFS(Data[Amount], Data[CustomerID], M561)</f>
        <v>82.54</v>
      </c>
    </row>
    <row r="562" spans="1:16" x14ac:dyDescent="0.25">
      <c r="A562">
        <v>1340</v>
      </c>
      <c r="B562">
        <v>661</v>
      </c>
      <c r="C562" s="1">
        <v>45300</v>
      </c>
      <c r="D562">
        <v>19.39</v>
      </c>
      <c r="E562" t="s">
        <v>20</v>
      </c>
      <c r="F562" t="s">
        <v>10</v>
      </c>
      <c r="G562">
        <f>COUNTIF(Data[CustomerID], Data[[#This Row],[CustomerID]])</f>
        <v>1</v>
      </c>
      <c r="H562" s="1" t="str">
        <f>TEXT(Data[OrderDate],"yyyy-mmm")</f>
        <v>2024-Jan</v>
      </c>
      <c r="I562">
        <f>IF(
   COUNTIFS(
      Data[CustomerID], Data[[#This Row],[CustomerID]],
      Data[OrderDate], "&lt;" &amp; EOMONTH(Data[[#This Row],[OrderDate]], -1) + 1
   ) &gt; 0,
   1,
   0
)</f>
        <v>0</v>
      </c>
      <c r="J562">
        <f>YEAR(Data[[#This Row],[OrderDate]])</f>
        <v>2024</v>
      </c>
      <c r="K562" s="2">
        <f>MONTH(Data[[#This Row],[OrderDate]])</f>
        <v>1</v>
      </c>
      <c r="M562" s="12">
        <v>1760</v>
      </c>
      <c r="N562" s="21">
        <f>MAX(Data[OrderDate])-_xlfn.MAXIFS(Data[OrderDate],Data[CustomerID],M562)</f>
        <v>35</v>
      </c>
      <c r="O562" s="22">
        <f>COUNTIFS(Data[CustomerID], M562)</f>
        <v>1</v>
      </c>
      <c r="P562" s="23">
        <f>SUMIFS(Data[Amount], Data[CustomerID], M562)</f>
        <v>82.41</v>
      </c>
    </row>
    <row r="563" spans="1:16" x14ac:dyDescent="0.25">
      <c r="A563">
        <v>1112</v>
      </c>
      <c r="B563">
        <v>278</v>
      </c>
      <c r="C563" s="1">
        <v>45302</v>
      </c>
      <c r="D563">
        <v>400.89</v>
      </c>
      <c r="E563" t="s">
        <v>6</v>
      </c>
      <c r="F563" t="s">
        <v>19</v>
      </c>
      <c r="G563">
        <f>COUNTIF(Data[CustomerID], Data[[#This Row],[CustomerID]])</f>
        <v>3</v>
      </c>
      <c r="H563" s="1" t="str">
        <f>TEXT(Data[OrderDate],"yyyy-mmm")</f>
        <v>2024-Jan</v>
      </c>
      <c r="I563">
        <f>IF(
   COUNTIFS(
      Data[CustomerID], Data[[#This Row],[CustomerID]],
      Data[OrderDate], "&lt;" &amp; EOMONTH(Data[[#This Row],[OrderDate]], -1) + 1
   ) &gt; 0,
   1,
   0
)</f>
        <v>1</v>
      </c>
      <c r="J563">
        <f>YEAR(Data[[#This Row],[OrderDate]])</f>
        <v>2024</v>
      </c>
      <c r="K563" s="2">
        <f>MONTH(Data[[#This Row],[OrderDate]])</f>
        <v>1</v>
      </c>
      <c r="M563" s="12">
        <v>1800</v>
      </c>
      <c r="N563" s="21">
        <f>MAX(Data[OrderDate])-_xlfn.MAXIFS(Data[OrderDate],Data[CustomerID],M563)</f>
        <v>98</v>
      </c>
      <c r="O563" s="22">
        <f>COUNTIFS(Data[CustomerID], M563)</f>
        <v>1</v>
      </c>
      <c r="P563" s="23">
        <f>SUMIFS(Data[Amount], Data[CustomerID], M563)</f>
        <v>81.13</v>
      </c>
    </row>
    <row r="564" spans="1:16" x14ac:dyDescent="0.25">
      <c r="A564">
        <v>1412</v>
      </c>
      <c r="B564">
        <v>743</v>
      </c>
      <c r="C564" s="1">
        <v>45302</v>
      </c>
      <c r="D564">
        <v>487.54</v>
      </c>
      <c r="E564" t="s">
        <v>20</v>
      </c>
      <c r="F564" t="s">
        <v>19</v>
      </c>
      <c r="G564">
        <f>COUNTIF(Data[CustomerID], Data[[#This Row],[CustomerID]])</f>
        <v>1</v>
      </c>
      <c r="H564" s="1" t="str">
        <f>TEXT(Data[OrderDate],"yyyy-mmm")</f>
        <v>2024-Jan</v>
      </c>
      <c r="I564">
        <f>IF(
   COUNTIFS(
      Data[CustomerID], Data[[#This Row],[CustomerID]],
      Data[OrderDate], "&lt;" &amp; EOMONTH(Data[[#This Row],[OrderDate]], -1) + 1
   ) &gt; 0,
   1,
   0
)</f>
        <v>0</v>
      </c>
      <c r="J564">
        <f>YEAR(Data[[#This Row],[OrderDate]])</f>
        <v>2024</v>
      </c>
      <c r="K564" s="2">
        <f>MONTH(Data[[#This Row],[OrderDate]])</f>
        <v>1</v>
      </c>
      <c r="M564" s="12">
        <v>1126</v>
      </c>
      <c r="N564" s="21">
        <f>MAX(Data[OrderDate])-_xlfn.MAXIFS(Data[OrderDate],Data[CustomerID],M564)</f>
        <v>631</v>
      </c>
      <c r="O564" s="22">
        <f>COUNTIFS(Data[CustomerID], M564)</f>
        <v>1</v>
      </c>
      <c r="P564" s="23">
        <f>SUMIFS(Data[Amount], Data[CustomerID], M564)</f>
        <v>79.58</v>
      </c>
    </row>
    <row r="565" spans="1:16" x14ac:dyDescent="0.25">
      <c r="A565">
        <v>1899</v>
      </c>
      <c r="B565">
        <v>201</v>
      </c>
      <c r="C565" s="1">
        <v>45303</v>
      </c>
      <c r="D565">
        <v>290.70999999999998</v>
      </c>
      <c r="E565" t="s">
        <v>9</v>
      </c>
      <c r="F565" t="s">
        <v>14</v>
      </c>
      <c r="G565">
        <f>COUNTIF(Data[CustomerID], Data[[#This Row],[CustomerID]])</f>
        <v>1</v>
      </c>
      <c r="H565" s="1" t="str">
        <f>TEXT(Data[OrderDate],"yyyy-mmm")</f>
        <v>2024-Jan</v>
      </c>
      <c r="I565">
        <f>IF(
   COUNTIFS(
      Data[CustomerID], Data[[#This Row],[CustomerID]],
      Data[OrderDate], "&lt;" &amp; EOMONTH(Data[[#This Row],[OrderDate]], -1) + 1
   ) &gt; 0,
   1,
   0
)</f>
        <v>0</v>
      </c>
      <c r="J565">
        <f>YEAR(Data[[#This Row],[OrderDate]])</f>
        <v>2024</v>
      </c>
      <c r="K565" s="2">
        <f>MONTH(Data[[#This Row],[OrderDate]])</f>
        <v>1</v>
      </c>
      <c r="M565" s="12">
        <v>1122</v>
      </c>
      <c r="N565" s="21">
        <f>MAX(Data[OrderDate])-_xlfn.MAXIFS(Data[OrderDate],Data[CustomerID],M565)</f>
        <v>278</v>
      </c>
      <c r="O565" s="22">
        <f>COUNTIFS(Data[CustomerID], M565)</f>
        <v>1</v>
      </c>
      <c r="P565" s="23">
        <f>SUMIFS(Data[Amount], Data[CustomerID], M565)</f>
        <v>79.099999999999994</v>
      </c>
    </row>
    <row r="566" spans="1:16" x14ac:dyDescent="0.25">
      <c r="A566">
        <v>1417</v>
      </c>
      <c r="B566">
        <v>733</v>
      </c>
      <c r="C566" s="1">
        <v>45303</v>
      </c>
      <c r="D566">
        <v>202.42</v>
      </c>
      <c r="E566" t="s">
        <v>20</v>
      </c>
      <c r="F566" t="s">
        <v>19</v>
      </c>
      <c r="G566">
        <f>COUNTIF(Data[CustomerID], Data[[#This Row],[CustomerID]])</f>
        <v>1</v>
      </c>
      <c r="H566" s="1" t="str">
        <f>TEXT(Data[OrderDate],"yyyy-mmm")</f>
        <v>2024-Jan</v>
      </c>
      <c r="I566">
        <f>IF(
   COUNTIFS(
      Data[CustomerID], Data[[#This Row],[CustomerID]],
      Data[OrderDate], "&lt;" &amp; EOMONTH(Data[[#This Row],[OrderDate]], -1) + 1
   ) &gt; 0,
   1,
   0
)</f>
        <v>0</v>
      </c>
      <c r="J566">
        <f>YEAR(Data[[#This Row],[OrderDate]])</f>
        <v>2024</v>
      </c>
      <c r="K566" s="2">
        <f>MONTH(Data[[#This Row],[OrderDate]])</f>
        <v>1</v>
      </c>
      <c r="M566" s="12">
        <v>1489</v>
      </c>
      <c r="N566" s="21">
        <f>MAX(Data[OrderDate])-_xlfn.MAXIFS(Data[OrderDate],Data[CustomerID],M566)</f>
        <v>34</v>
      </c>
      <c r="O566" s="22">
        <f>COUNTIFS(Data[CustomerID], M566)</f>
        <v>2</v>
      </c>
      <c r="P566" s="23">
        <f>SUMIFS(Data[Amount], Data[CustomerID], M566)</f>
        <v>77.48</v>
      </c>
    </row>
    <row r="567" spans="1:16" x14ac:dyDescent="0.25">
      <c r="A567">
        <v>1586</v>
      </c>
      <c r="B567">
        <v>390</v>
      </c>
      <c r="C567" s="1">
        <v>45304</v>
      </c>
      <c r="D567">
        <v>63.24</v>
      </c>
      <c r="E567" t="s">
        <v>6</v>
      </c>
      <c r="F567" t="s">
        <v>19</v>
      </c>
      <c r="G567">
        <f>COUNTIF(Data[CustomerID], Data[[#This Row],[CustomerID]])</f>
        <v>1</v>
      </c>
      <c r="H567" s="1" t="str">
        <f>TEXT(Data[OrderDate],"yyyy-mmm")</f>
        <v>2024-Jan</v>
      </c>
      <c r="I567">
        <f>IF(
   COUNTIFS(
      Data[CustomerID], Data[[#This Row],[CustomerID]],
      Data[OrderDate], "&lt;" &amp; EOMONTH(Data[[#This Row],[OrderDate]], -1) + 1
   ) &gt; 0,
   1,
   0
)</f>
        <v>0</v>
      </c>
      <c r="J567">
        <f>YEAR(Data[[#This Row],[OrderDate]])</f>
        <v>2024</v>
      </c>
      <c r="K567" s="2">
        <f>MONTH(Data[[#This Row],[OrderDate]])</f>
        <v>1</v>
      </c>
      <c r="M567" s="12">
        <v>1087</v>
      </c>
      <c r="N567" s="21">
        <f>MAX(Data[OrderDate])-_xlfn.MAXIFS(Data[OrderDate],Data[CustomerID],M567)</f>
        <v>595</v>
      </c>
      <c r="O567" s="22">
        <f>COUNTIFS(Data[CustomerID], M567)</f>
        <v>1</v>
      </c>
      <c r="P567" s="23">
        <f>SUMIFS(Data[Amount], Data[CustomerID], M567)</f>
        <v>77.23</v>
      </c>
    </row>
    <row r="568" spans="1:16" x14ac:dyDescent="0.25">
      <c r="A568">
        <v>1992</v>
      </c>
      <c r="B568">
        <v>574</v>
      </c>
      <c r="C568" s="1">
        <v>45304</v>
      </c>
      <c r="D568">
        <v>310.17</v>
      </c>
      <c r="E568" t="s">
        <v>13</v>
      </c>
      <c r="F568" t="s">
        <v>10</v>
      </c>
      <c r="G568">
        <f>COUNTIF(Data[CustomerID], Data[[#This Row],[CustomerID]])</f>
        <v>2</v>
      </c>
      <c r="H568" s="1" t="str">
        <f>TEXT(Data[OrderDate],"yyyy-mmm")</f>
        <v>2024-Jan</v>
      </c>
      <c r="I568">
        <f>IF(
   COUNTIFS(
      Data[CustomerID], Data[[#This Row],[CustomerID]],
      Data[OrderDate], "&lt;" &amp; EOMONTH(Data[[#This Row],[OrderDate]], -1) + 1
   ) &gt; 0,
   1,
   0
)</f>
        <v>1</v>
      </c>
      <c r="J568">
        <f>YEAR(Data[[#This Row],[OrderDate]])</f>
        <v>2024</v>
      </c>
      <c r="K568" s="2">
        <f>MONTH(Data[[#This Row],[OrderDate]])</f>
        <v>1</v>
      </c>
      <c r="M568" s="12">
        <v>1194</v>
      </c>
      <c r="N568" s="21">
        <f>MAX(Data[OrderDate])-_xlfn.MAXIFS(Data[OrderDate],Data[CustomerID],M568)</f>
        <v>521</v>
      </c>
      <c r="O568" s="22">
        <f>COUNTIFS(Data[CustomerID], M568)</f>
        <v>1</v>
      </c>
      <c r="P568" s="23">
        <f>SUMIFS(Data[Amount], Data[CustomerID], M568)</f>
        <v>73.900000000000006</v>
      </c>
    </row>
    <row r="569" spans="1:16" x14ac:dyDescent="0.25">
      <c r="A569">
        <v>1252</v>
      </c>
      <c r="B569">
        <v>987</v>
      </c>
      <c r="C569" s="1">
        <v>45304</v>
      </c>
      <c r="D569">
        <v>114.01</v>
      </c>
      <c r="E569" t="s">
        <v>13</v>
      </c>
      <c r="F569" t="s">
        <v>10</v>
      </c>
      <c r="G569">
        <f>COUNTIF(Data[CustomerID], Data[[#This Row],[CustomerID]])</f>
        <v>5</v>
      </c>
      <c r="H569" s="1" t="str">
        <f>TEXT(Data[OrderDate],"yyyy-mmm")</f>
        <v>2024-Jan</v>
      </c>
      <c r="I569">
        <f>IF(
   COUNTIFS(
      Data[CustomerID], Data[[#This Row],[CustomerID]],
      Data[OrderDate], "&lt;" &amp; EOMONTH(Data[[#This Row],[OrderDate]], -1) + 1
   ) &gt; 0,
   1,
   0
)</f>
        <v>1</v>
      </c>
      <c r="J569">
        <f>YEAR(Data[[#This Row],[OrderDate]])</f>
        <v>2024</v>
      </c>
      <c r="K569" s="2">
        <f>MONTH(Data[[#This Row],[OrderDate]])</f>
        <v>1</v>
      </c>
      <c r="M569" s="12">
        <v>1911</v>
      </c>
      <c r="N569" s="21">
        <f>MAX(Data[OrderDate])-_xlfn.MAXIFS(Data[OrderDate],Data[CustomerID],M569)</f>
        <v>361</v>
      </c>
      <c r="O569" s="22">
        <f>COUNTIFS(Data[CustomerID], M569)</f>
        <v>1</v>
      </c>
      <c r="P569" s="23">
        <f>SUMIFS(Data[Amount], Data[CustomerID], M569)</f>
        <v>73.22</v>
      </c>
    </row>
    <row r="570" spans="1:16" x14ac:dyDescent="0.25">
      <c r="A570">
        <v>1384</v>
      </c>
      <c r="B570">
        <v>293</v>
      </c>
      <c r="C570" s="1">
        <v>45305</v>
      </c>
      <c r="D570">
        <v>298.8</v>
      </c>
      <c r="E570" t="s">
        <v>15</v>
      </c>
      <c r="F570" t="s">
        <v>18</v>
      </c>
      <c r="G570">
        <f>COUNTIF(Data[CustomerID], Data[[#This Row],[CustomerID]])</f>
        <v>2</v>
      </c>
      <c r="H570" s="1" t="str">
        <f>TEXT(Data[OrderDate],"yyyy-mmm")</f>
        <v>2024-Jan</v>
      </c>
      <c r="I570">
        <f>IF(
   COUNTIFS(
      Data[CustomerID], Data[[#This Row],[CustomerID]],
      Data[OrderDate], "&lt;" &amp; EOMONTH(Data[[#This Row],[OrderDate]], -1) + 1
   ) &gt; 0,
   1,
   0
)</f>
        <v>0</v>
      </c>
      <c r="J570">
        <f>YEAR(Data[[#This Row],[OrderDate]])</f>
        <v>2024</v>
      </c>
      <c r="K570" s="2">
        <f>MONTH(Data[[#This Row],[OrderDate]])</f>
        <v>1</v>
      </c>
      <c r="M570" s="12">
        <v>1250</v>
      </c>
      <c r="N570" s="21">
        <f>MAX(Data[OrderDate])-_xlfn.MAXIFS(Data[OrderDate],Data[CustomerID],M570)</f>
        <v>356</v>
      </c>
      <c r="O570" s="22">
        <f>COUNTIFS(Data[CustomerID], M570)</f>
        <v>1</v>
      </c>
      <c r="P570" s="23">
        <f>SUMIFS(Data[Amount], Data[CustomerID], M570)</f>
        <v>73.069999999999993</v>
      </c>
    </row>
    <row r="571" spans="1:16" x14ac:dyDescent="0.25">
      <c r="A571">
        <v>1098</v>
      </c>
      <c r="B571">
        <v>483</v>
      </c>
      <c r="C571" s="1">
        <v>45306</v>
      </c>
      <c r="D571">
        <v>128.05000000000001</v>
      </c>
      <c r="E571" t="s">
        <v>20</v>
      </c>
      <c r="F571" t="s">
        <v>16</v>
      </c>
      <c r="G571">
        <f>COUNTIF(Data[CustomerID], Data[[#This Row],[CustomerID]])</f>
        <v>7</v>
      </c>
      <c r="H571" s="1" t="str">
        <f>TEXT(Data[OrderDate],"yyyy-mmm")</f>
        <v>2024-Jan</v>
      </c>
      <c r="I571">
        <f>IF(
   COUNTIFS(
      Data[CustomerID], Data[[#This Row],[CustomerID]],
      Data[OrderDate], "&lt;" &amp; EOMONTH(Data[[#This Row],[OrderDate]], -1) + 1
   ) &gt; 0,
   1,
   0
)</f>
        <v>1</v>
      </c>
      <c r="J571">
        <f>YEAR(Data[[#This Row],[OrderDate]])</f>
        <v>2024</v>
      </c>
      <c r="K571" s="2">
        <f>MONTH(Data[[#This Row],[OrderDate]])</f>
        <v>1</v>
      </c>
      <c r="M571" s="12">
        <v>1154</v>
      </c>
      <c r="N571" s="21">
        <f>MAX(Data[OrderDate])-_xlfn.MAXIFS(Data[OrderDate],Data[CustomerID],M571)</f>
        <v>518</v>
      </c>
      <c r="O571" s="22">
        <f>COUNTIFS(Data[CustomerID], M571)</f>
        <v>1</v>
      </c>
      <c r="P571" s="23">
        <f>SUMIFS(Data[Amount], Data[CustomerID], M571)</f>
        <v>70.91</v>
      </c>
    </row>
    <row r="572" spans="1:16" x14ac:dyDescent="0.25">
      <c r="A572">
        <v>1688</v>
      </c>
      <c r="B572">
        <v>756</v>
      </c>
      <c r="C572" s="1">
        <v>45306</v>
      </c>
      <c r="D572">
        <v>47.78</v>
      </c>
      <c r="E572" t="s">
        <v>20</v>
      </c>
      <c r="F572" t="s">
        <v>7</v>
      </c>
      <c r="G572">
        <f>COUNTIF(Data[CustomerID], Data[[#This Row],[CustomerID]])</f>
        <v>1</v>
      </c>
      <c r="H572" s="1" t="str">
        <f>TEXT(Data[OrderDate],"yyyy-mmm")</f>
        <v>2024-Jan</v>
      </c>
      <c r="I572">
        <f>IF(
   COUNTIFS(
      Data[CustomerID], Data[[#This Row],[CustomerID]],
      Data[OrderDate], "&lt;" &amp; EOMONTH(Data[[#This Row],[OrderDate]], -1) + 1
   ) &gt; 0,
   1,
   0
)</f>
        <v>0</v>
      </c>
      <c r="J572">
        <f>YEAR(Data[[#This Row],[OrderDate]])</f>
        <v>2024</v>
      </c>
      <c r="K572" s="2">
        <f>MONTH(Data[[#This Row],[OrderDate]])</f>
        <v>1</v>
      </c>
      <c r="M572" s="12">
        <v>1601</v>
      </c>
      <c r="N572" s="21">
        <f>MAX(Data[OrderDate])-_xlfn.MAXIFS(Data[OrderDate],Data[CustomerID],M572)</f>
        <v>461</v>
      </c>
      <c r="O572" s="22">
        <f>COUNTIFS(Data[CustomerID], M572)</f>
        <v>1</v>
      </c>
      <c r="P572" s="23">
        <f>SUMIFS(Data[Amount], Data[CustomerID], M572)</f>
        <v>70.02</v>
      </c>
    </row>
    <row r="573" spans="1:16" x14ac:dyDescent="0.25">
      <c r="A573">
        <v>1245</v>
      </c>
      <c r="B573">
        <v>521</v>
      </c>
      <c r="C573" s="1">
        <v>45307</v>
      </c>
      <c r="D573">
        <v>391.68</v>
      </c>
      <c r="E573" t="s">
        <v>15</v>
      </c>
      <c r="F573" t="s">
        <v>19</v>
      </c>
      <c r="G573">
        <f>COUNTIF(Data[CustomerID], Data[[#This Row],[CustomerID]])</f>
        <v>1</v>
      </c>
      <c r="H573" s="1" t="str">
        <f>TEXT(Data[OrderDate],"yyyy-mmm")</f>
        <v>2024-Jan</v>
      </c>
      <c r="I573">
        <f>IF(
   COUNTIFS(
      Data[CustomerID], Data[[#This Row],[CustomerID]],
      Data[OrderDate], "&lt;" &amp; EOMONTH(Data[[#This Row],[OrderDate]], -1) + 1
   ) &gt; 0,
   1,
   0
)</f>
        <v>0</v>
      </c>
      <c r="J573">
        <f>YEAR(Data[[#This Row],[OrderDate]])</f>
        <v>2024</v>
      </c>
      <c r="K573" s="2">
        <f>MONTH(Data[[#This Row],[OrderDate]])</f>
        <v>1</v>
      </c>
      <c r="M573" s="12">
        <v>1069</v>
      </c>
      <c r="N573" s="21">
        <f>MAX(Data[OrderDate])-_xlfn.MAXIFS(Data[OrderDate],Data[CustomerID],M573)</f>
        <v>337</v>
      </c>
      <c r="O573" s="22">
        <f>COUNTIFS(Data[CustomerID], M573)</f>
        <v>1</v>
      </c>
      <c r="P573" s="23">
        <f>SUMIFS(Data[Amount], Data[CustomerID], M573)</f>
        <v>69.260000000000005</v>
      </c>
    </row>
    <row r="574" spans="1:16" x14ac:dyDescent="0.25">
      <c r="A574">
        <v>1202</v>
      </c>
      <c r="B574">
        <v>924</v>
      </c>
      <c r="C574" s="1">
        <v>45307</v>
      </c>
      <c r="D574">
        <v>380.83</v>
      </c>
      <c r="E574" t="s">
        <v>15</v>
      </c>
      <c r="F574" t="s">
        <v>19</v>
      </c>
      <c r="G574">
        <f>COUNTIF(Data[CustomerID], Data[[#This Row],[CustomerID]])</f>
        <v>2</v>
      </c>
      <c r="H574" s="1" t="str">
        <f>TEXT(Data[OrderDate],"yyyy-mmm")</f>
        <v>2024-Jan</v>
      </c>
      <c r="I574">
        <f>IF(
   COUNTIFS(
      Data[CustomerID], Data[[#This Row],[CustomerID]],
      Data[OrderDate], "&lt;" &amp; EOMONTH(Data[[#This Row],[OrderDate]], -1) + 1
   ) &gt; 0,
   1,
   0
)</f>
        <v>0</v>
      </c>
      <c r="J574">
        <f>YEAR(Data[[#This Row],[OrderDate]])</f>
        <v>2024</v>
      </c>
      <c r="K574" s="2">
        <f>MONTH(Data[[#This Row],[OrderDate]])</f>
        <v>1</v>
      </c>
      <c r="M574" s="12">
        <v>1685</v>
      </c>
      <c r="N574" s="21">
        <f>MAX(Data[OrderDate])-_xlfn.MAXIFS(Data[OrderDate],Data[CustomerID],M574)</f>
        <v>604</v>
      </c>
      <c r="O574" s="22">
        <f>COUNTIFS(Data[CustomerID], M574)</f>
        <v>1</v>
      </c>
      <c r="P574" s="23">
        <f>SUMIFS(Data[Amount], Data[CustomerID], M574)</f>
        <v>67.959999999999994</v>
      </c>
    </row>
    <row r="575" spans="1:16" x14ac:dyDescent="0.25">
      <c r="A575">
        <v>1783</v>
      </c>
      <c r="B575">
        <v>951</v>
      </c>
      <c r="C575" s="1">
        <v>45308</v>
      </c>
      <c r="D575">
        <v>420.53</v>
      </c>
      <c r="E575" t="s">
        <v>9</v>
      </c>
      <c r="F575" t="s">
        <v>14</v>
      </c>
      <c r="G575">
        <f>COUNTIF(Data[CustomerID], Data[[#This Row],[CustomerID]])</f>
        <v>1</v>
      </c>
      <c r="H575" s="1" t="str">
        <f>TEXT(Data[OrderDate],"yyyy-mmm")</f>
        <v>2024-Jan</v>
      </c>
      <c r="I575">
        <f>IF(
   COUNTIFS(
      Data[CustomerID], Data[[#This Row],[CustomerID]],
      Data[OrderDate], "&lt;" &amp; EOMONTH(Data[[#This Row],[OrderDate]], -1) + 1
   ) &gt; 0,
   1,
   0
)</f>
        <v>0</v>
      </c>
      <c r="J575">
        <f>YEAR(Data[[#This Row],[OrderDate]])</f>
        <v>2024</v>
      </c>
      <c r="K575" s="2">
        <f>MONTH(Data[[#This Row],[OrderDate]])</f>
        <v>1</v>
      </c>
      <c r="M575" s="12">
        <v>1483</v>
      </c>
      <c r="N575" s="21">
        <f>MAX(Data[OrderDate])-_xlfn.MAXIFS(Data[OrderDate],Data[CustomerID],M575)</f>
        <v>237</v>
      </c>
      <c r="O575" s="22">
        <f>COUNTIFS(Data[CustomerID], M575)</f>
        <v>1</v>
      </c>
      <c r="P575" s="23">
        <f>SUMIFS(Data[Amount], Data[CustomerID], M575)</f>
        <v>67.5</v>
      </c>
    </row>
    <row r="576" spans="1:16" x14ac:dyDescent="0.25">
      <c r="A576">
        <v>1871</v>
      </c>
      <c r="B576">
        <v>18</v>
      </c>
      <c r="C576" s="1">
        <v>45311</v>
      </c>
      <c r="D576">
        <v>14.09</v>
      </c>
      <c r="E576" t="s">
        <v>9</v>
      </c>
      <c r="F576" t="s">
        <v>14</v>
      </c>
      <c r="G576">
        <f>COUNTIF(Data[CustomerID], Data[[#This Row],[CustomerID]])</f>
        <v>5</v>
      </c>
      <c r="H576" s="1" t="str">
        <f>TEXT(Data[OrderDate],"yyyy-mmm")</f>
        <v>2024-Jan</v>
      </c>
      <c r="I576">
        <f>IF(
   COUNTIFS(
      Data[CustomerID], Data[[#This Row],[CustomerID]],
      Data[OrderDate], "&lt;" &amp; EOMONTH(Data[[#This Row],[OrderDate]], -1) + 1
   ) &gt; 0,
   1,
   0
)</f>
        <v>1</v>
      </c>
      <c r="J576">
        <f>YEAR(Data[[#This Row],[OrderDate]])</f>
        <v>2024</v>
      </c>
      <c r="K576" s="2">
        <f>MONTH(Data[[#This Row],[OrderDate]])</f>
        <v>1</v>
      </c>
      <c r="M576" s="12">
        <v>1093</v>
      </c>
      <c r="N576" s="21">
        <f>MAX(Data[OrderDate])-_xlfn.MAXIFS(Data[OrderDate],Data[CustomerID],M576)</f>
        <v>203</v>
      </c>
      <c r="O576" s="22">
        <f>COUNTIFS(Data[CustomerID], M576)</f>
        <v>1</v>
      </c>
      <c r="P576" s="23">
        <f>SUMIFS(Data[Amount], Data[CustomerID], M576)</f>
        <v>66.73</v>
      </c>
    </row>
    <row r="577" spans="1:16" x14ac:dyDescent="0.25">
      <c r="A577">
        <v>1378</v>
      </c>
      <c r="B577">
        <v>149</v>
      </c>
      <c r="C577" s="1">
        <v>45312</v>
      </c>
      <c r="D577">
        <v>281.27999999999997</v>
      </c>
      <c r="E577" t="s">
        <v>17</v>
      </c>
      <c r="F577" t="s">
        <v>10</v>
      </c>
      <c r="G577">
        <f>COUNTIF(Data[CustomerID], Data[[#This Row],[CustomerID]])</f>
        <v>1</v>
      </c>
      <c r="H577" s="1" t="str">
        <f>TEXT(Data[OrderDate],"yyyy-mmm")</f>
        <v>2024-Jan</v>
      </c>
      <c r="I577">
        <f>IF(
   COUNTIFS(
      Data[CustomerID], Data[[#This Row],[CustomerID]],
      Data[OrderDate], "&lt;" &amp; EOMONTH(Data[[#This Row],[OrderDate]], -1) + 1
   ) &gt; 0,
   1,
   0
)</f>
        <v>0</v>
      </c>
      <c r="J577">
        <f>YEAR(Data[[#This Row],[OrderDate]])</f>
        <v>2024</v>
      </c>
      <c r="K577" s="2">
        <f>MONTH(Data[[#This Row],[OrderDate]])</f>
        <v>1</v>
      </c>
      <c r="M577" s="12">
        <v>1335</v>
      </c>
      <c r="N577" s="21">
        <f>MAX(Data[OrderDate])-_xlfn.MAXIFS(Data[OrderDate],Data[CustomerID],M577)</f>
        <v>328</v>
      </c>
      <c r="O577" s="22">
        <f>COUNTIFS(Data[CustomerID], M577)</f>
        <v>1</v>
      </c>
      <c r="P577" s="23">
        <f>SUMIFS(Data[Amount], Data[CustomerID], M577)</f>
        <v>65.58</v>
      </c>
    </row>
    <row r="578" spans="1:16" x14ac:dyDescent="0.25">
      <c r="A578">
        <v>1276</v>
      </c>
      <c r="B578">
        <v>420</v>
      </c>
      <c r="C578" s="1">
        <v>45312</v>
      </c>
      <c r="D578">
        <v>478.87</v>
      </c>
      <c r="E578" t="s">
        <v>15</v>
      </c>
      <c r="F578" t="s">
        <v>19</v>
      </c>
      <c r="G578">
        <f>COUNTIF(Data[CustomerID], Data[[#This Row],[CustomerID]])</f>
        <v>4</v>
      </c>
      <c r="H578" s="1" t="str">
        <f>TEXT(Data[OrderDate],"yyyy-mmm")</f>
        <v>2024-Jan</v>
      </c>
      <c r="I578">
        <f>IF(
   COUNTIFS(
      Data[CustomerID], Data[[#This Row],[CustomerID]],
      Data[OrderDate], "&lt;" &amp; EOMONTH(Data[[#This Row],[OrderDate]], -1) + 1
   ) &gt; 0,
   1,
   0
)</f>
        <v>1</v>
      </c>
      <c r="J578">
        <f>YEAR(Data[[#This Row],[OrderDate]])</f>
        <v>2024</v>
      </c>
      <c r="K578" s="2">
        <f>MONTH(Data[[#This Row],[OrderDate]])</f>
        <v>1</v>
      </c>
      <c r="M578" s="12">
        <v>1037</v>
      </c>
      <c r="N578" s="21">
        <f>MAX(Data[OrderDate])-_xlfn.MAXIFS(Data[OrderDate],Data[CustomerID],M578)</f>
        <v>231</v>
      </c>
      <c r="O578" s="22">
        <f>COUNTIFS(Data[CustomerID], M578)</f>
        <v>1</v>
      </c>
      <c r="P578" s="23">
        <f>SUMIFS(Data[Amount], Data[CustomerID], M578)</f>
        <v>65.41</v>
      </c>
    </row>
    <row r="579" spans="1:16" x14ac:dyDescent="0.25">
      <c r="A579">
        <v>1866</v>
      </c>
      <c r="B579">
        <v>528</v>
      </c>
      <c r="C579" s="1">
        <v>45312</v>
      </c>
      <c r="D579">
        <v>228.06</v>
      </c>
      <c r="E579" t="s">
        <v>15</v>
      </c>
      <c r="F579" t="s">
        <v>7</v>
      </c>
      <c r="G579">
        <f>COUNTIF(Data[CustomerID], Data[[#This Row],[CustomerID]])</f>
        <v>3</v>
      </c>
      <c r="H579" s="1" t="str">
        <f>TEXT(Data[OrderDate],"yyyy-mmm")</f>
        <v>2024-Jan</v>
      </c>
      <c r="I579">
        <f>IF(
   COUNTIFS(
      Data[CustomerID], Data[[#This Row],[CustomerID]],
      Data[OrderDate], "&lt;" &amp; EOMONTH(Data[[#This Row],[OrderDate]], -1) + 1
   ) &gt; 0,
   1,
   0
)</f>
        <v>0</v>
      </c>
      <c r="J579">
        <f>YEAR(Data[[#This Row],[OrderDate]])</f>
        <v>2024</v>
      </c>
      <c r="K579" s="2">
        <f>MONTH(Data[[#This Row],[OrderDate]])</f>
        <v>1</v>
      </c>
      <c r="M579" s="12">
        <v>1586</v>
      </c>
      <c r="N579" s="21">
        <f>MAX(Data[OrderDate])-_xlfn.MAXIFS(Data[OrderDate],Data[CustomerID],M579)</f>
        <v>322</v>
      </c>
      <c r="O579" s="22">
        <f>COUNTIFS(Data[CustomerID], M579)</f>
        <v>1</v>
      </c>
      <c r="P579" s="23">
        <f>SUMIFS(Data[Amount], Data[CustomerID], M579)</f>
        <v>63.24</v>
      </c>
    </row>
    <row r="580" spans="1:16" x14ac:dyDescent="0.25">
      <c r="A580">
        <v>1241</v>
      </c>
      <c r="B580">
        <v>999</v>
      </c>
      <c r="C580" s="1">
        <v>45312</v>
      </c>
      <c r="D580">
        <v>234.89</v>
      </c>
      <c r="E580" t="s">
        <v>8</v>
      </c>
      <c r="F580" t="s">
        <v>12</v>
      </c>
      <c r="G580">
        <f>COUNTIF(Data[CustomerID], Data[[#This Row],[CustomerID]])</f>
        <v>2</v>
      </c>
      <c r="H580" s="1" t="str">
        <f>TEXT(Data[OrderDate],"yyyy-mmm")</f>
        <v>2024-Jan</v>
      </c>
      <c r="I580">
        <f>IF(
   COUNTIFS(
      Data[CustomerID], Data[[#This Row],[CustomerID]],
      Data[OrderDate], "&lt;" &amp; EOMONTH(Data[[#This Row],[OrderDate]], -1) + 1
   ) &gt; 0,
   1,
   0
)</f>
        <v>1</v>
      </c>
      <c r="J580">
        <f>YEAR(Data[[#This Row],[OrderDate]])</f>
        <v>2024</v>
      </c>
      <c r="K580" s="2">
        <f>MONTH(Data[[#This Row],[OrderDate]])</f>
        <v>1</v>
      </c>
      <c r="M580" s="12">
        <v>1854</v>
      </c>
      <c r="N580" s="21">
        <f>MAX(Data[OrderDate])-_xlfn.MAXIFS(Data[OrderDate],Data[CustomerID],M580)</f>
        <v>430</v>
      </c>
      <c r="O580" s="22">
        <f>COUNTIFS(Data[CustomerID], M580)</f>
        <v>1</v>
      </c>
      <c r="P580" s="23">
        <f>SUMIFS(Data[Amount], Data[CustomerID], M580)</f>
        <v>60.59</v>
      </c>
    </row>
    <row r="581" spans="1:16" x14ac:dyDescent="0.25">
      <c r="A581">
        <v>1121</v>
      </c>
      <c r="B581">
        <v>959</v>
      </c>
      <c r="C581" s="1">
        <v>45313</v>
      </c>
      <c r="D581">
        <v>113.13</v>
      </c>
      <c r="E581" t="s">
        <v>17</v>
      </c>
      <c r="F581" t="s">
        <v>12</v>
      </c>
      <c r="G581">
        <f>COUNTIF(Data[CustomerID], Data[[#This Row],[CustomerID]])</f>
        <v>2</v>
      </c>
      <c r="H581" s="1" t="str">
        <f>TEXT(Data[OrderDate],"yyyy-mmm")</f>
        <v>2024-Jan</v>
      </c>
      <c r="I581">
        <f>IF(
   COUNTIFS(
      Data[CustomerID], Data[[#This Row],[CustomerID]],
      Data[OrderDate], "&lt;" &amp; EOMONTH(Data[[#This Row],[OrderDate]], -1) + 1
   ) &gt; 0,
   1,
   0
)</f>
        <v>1</v>
      </c>
      <c r="J581">
        <f>YEAR(Data[[#This Row],[OrderDate]])</f>
        <v>2024</v>
      </c>
      <c r="K581" s="2">
        <f>MONTH(Data[[#This Row],[OrderDate]])</f>
        <v>1</v>
      </c>
      <c r="M581" s="12">
        <v>1530</v>
      </c>
      <c r="N581" s="21">
        <f>MAX(Data[OrderDate])-_xlfn.MAXIFS(Data[OrderDate],Data[CustomerID],M581)</f>
        <v>175</v>
      </c>
      <c r="O581" s="22">
        <f>COUNTIFS(Data[CustomerID], M581)</f>
        <v>1</v>
      </c>
      <c r="P581" s="23">
        <f>SUMIFS(Data[Amount], Data[CustomerID], M581)</f>
        <v>59.82</v>
      </c>
    </row>
    <row r="582" spans="1:16" x14ac:dyDescent="0.25">
      <c r="A582">
        <v>1924</v>
      </c>
      <c r="B582">
        <v>983</v>
      </c>
      <c r="C582" s="1">
        <v>45313</v>
      </c>
      <c r="D582">
        <v>395.63</v>
      </c>
      <c r="E582" t="s">
        <v>17</v>
      </c>
      <c r="F582" t="s">
        <v>7</v>
      </c>
      <c r="G582">
        <f>COUNTIF(Data[CustomerID], Data[[#This Row],[CustomerID]])</f>
        <v>1</v>
      </c>
      <c r="H582" s="1" t="str">
        <f>TEXT(Data[OrderDate],"yyyy-mmm")</f>
        <v>2024-Jan</v>
      </c>
      <c r="I582">
        <f>IF(
   COUNTIFS(
      Data[CustomerID], Data[[#This Row],[CustomerID]],
      Data[OrderDate], "&lt;" &amp; EOMONTH(Data[[#This Row],[OrderDate]], -1) + 1
   ) &gt; 0,
   1,
   0
)</f>
        <v>0</v>
      </c>
      <c r="J582">
        <f>YEAR(Data[[#This Row],[OrderDate]])</f>
        <v>2024</v>
      </c>
      <c r="K582" s="2">
        <f>MONTH(Data[[#This Row],[OrderDate]])</f>
        <v>1</v>
      </c>
      <c r="M582" s="12">
        <v>1632</v>
      </c>
      <c r="N582" s="21">
        <f>MAX(Data[OrderDate])-_xlfn.MAXIFS(Data[OrderDate],Data[CustomerID],M582)</f>
        <v>475</v>
      </c>
      <c r="O582" s="22">
        <f>COUNTIFS(Data[CustomerID], M582)</f>
        <v>1</v>
      </c>
      <c r="P582" s="23">
        <f>SUMIFS(Data[Amount], Data[CustomerID], M582)</f>
        <v>58.91</v>
      </c>
    </row>
    <row r="583" spans="1:16" x14ac:dyDescent="0.25">
      <c r="A583">
        <v>1875</v>
      </c>
      <c r="B583">
        <v>53</v>
      </c>
      <c r="C583" s="1">
        <v>45315</v>
      </c>
      <c r="D583">
        <v>393</v>
      </c>
      <c r="E583" t="s">
        <v>11</v>
      </c>
      <c r="F583" t="s">
        <v>14</v>
      </c>
      <c r="G583">
        <f>COUNTIF(Data[CustomerID], Data[[#This Row],[CustomerID]])</f>
        <v>2</v>
      </c>
      <c r="H583" s="1" t="str">
        <f>TEXT(Data[OrderDate],"yyyy-mmm")</f>
        <v>2024-Jan</v>
      </c>
      <c r="I583">
        <f>IF(
   COUNTIFS(
      Data[CustomerID], Data[[#This Row],[CustomerID]],
      Data[OrderDate], "&lt;" &amp; EOMONTH(Data[[#This Row],[OrderDate]], -1) + 1
   ) &gt; 0,
   1,
   0
)</f>
        <v>1</v>
      </c>
      <c r="J583">
        <f>YEAR(Data[[#This Row],[OrderDate]])</f>
        <v>2024</v>
      </c>
      <c r="K583" s="2">
        <f>MONTH(Data[[#This Row],[OrderDate]])</f>
        <v>1</v>
      </c>
      <c r="M583" s="12">
        <v>1740</v>
      </c>
      <c r="N583" s="21">
        <f>MAX(Data[OrderDate])-_xlfn.MAXIFS(Data[OrderDate],Data[CustomerID],M583)</f>
        <v>602</v>
      </c>
      <c r="O583" s="22">
        <f>COUNTIFS(Data[CustomerID], M583)</f>
        <v>1</v>
      </c>
      <c r="P583" s="23">
        <f>SUMIFS(Data[Amount], Data[CustomerID], M583)</f>
        <v>58.43</v>
      </c>
    </row>
    <row r="584" spans="1:16" x14ac:dyDescent="0.25">
      <c r="A584">
        <v>1195</v>
      </c>
      <c r="B584">
        <v>737</v>
      </c>
      <c r="C584" s="1">
        <v>45315</v>
      </c>
      <c r="D584">
        <v>144.96</v>
      </c>
      <c r="E584" t="s">
        <v>9</v>
      </c>
      <c r="F584" t="s">
        <v>19</v>
      </c>
      <c r="G584">
        <f>COUNTIF(Data[CustomerID], Data[[#This Row],[CustomerID]])</f>
        <v>2</v>
      </c>
      <c r="H584" s="1" t="str">
        <f>TEXT(Data[OrderDate],"yyyy-mmm")</f>
        <v>2024-Jan</v>
      </c>
      <c r="I584">
        <f>IF(
   COUNTIFS(
      Data[CustomerID], Data[[#This Row],[CustomerID]],
      Data[OrderDate], "&lt;" &amp; EOMONTH(Data[[#This Row],[OrderDate]], -1) + 1
   ) &gt; 0,
   1,
   0
)</f>
        <v>0</v>
      </c>
      <c r="J584">
        <f>YEAR(Data[[#This Row],[OrderDate]])</f>
        <v>2024</v>
      </c>
      <c r="K584" s="2">
        <f>MONTH(Data[[#This Row],[OrderDate]])</f>
        <v>1</v>
      </c>
      <c r="M584" s="12">
        <v>1701</v>
      </c>
      <c r="N584" s="21">
        <f>MAX(Data[OrderDate])-_xlfn.MAXIFS(Data[OrderDate],Data[CustomerID],M584)</f>
        <v>295</v>
      </c>
      <c r="O584" s="22">
        <f>COUNTIFS(Data[CustomerID], M584)</f>
        <v>1</v>
      </c>
      <c r="P584" s="23">
        <f>SUMIFS(Data[Amount], Data[CustomerID], M584)</f>
        <v>53.21</v>
      </c>
    </row>
    <row r="585" spans="1:16" x14ac:dyDescent="0.25">
      <c r="A585">
        <v>1608</v>
      </c>
      <c r="B585">
        <v>322</v>
      </c>
      <c r="C585" s="1">
        <v>45317</v>
      </c>
      <c r="D585">
        <v>33.94</v>
      </c>
      <c r="E585" t="s">
        <v>6</v>
      </c>
      <c r="F585" t="s">
        <v>12</v>
      </c>
      <c r="G585">
        <f>COUNTIF(Data[CustomerID], Data[[#This Row],[CustomerID]])</f>
        <v>2</v>
      </c>
      <c r="H585" s="1" t="str">
        <f>TEXT(Data[OrderDate],"yyyy-mmm")</f>
        <v>2024-Jan</v>
      </c>
      <c r="I585">
        <f>IF(
   COUNTIFS(
      Data[CustomerID], Data[[#This Row],[CustomerID]],
      Data[OrderDate], "&lt;" &amp; EOMONTH(Data[[#This Row],[OrderDate]], -1) + 1
   ) &gt; 0,
   1,
   0
)</f>
        <v>0</v>
      </c>
      <c r="J585">
        <f>YEAR(Data[[#This Row],[OrderDate]])</f>
        <v>2024</v>
      </c>
      <c r="K585" s="2">
        <f>MONTH(Data[[#This Row],[OrderDate]])</f>
        <v>1</v>
      </c>
      <c r="M585" s="12">
        <v>1185</v>
      </c>
      <c r="N585" s="21">
        <f>MAX(Data[OrderDate])-_xlfn.MAXIFS(Data[OrderDate],Data[CustomerID],M585)</f>
        <v>449</v>
      </c>
      <c r="O585" s="22">
        <f>COUNTIFS(Data[CustomerID], M585)</f>
        <v>1</v>
      </c>
      <c r="P585" s="23">
        <f>SUMIFS(Data[Amount], Data[CustomerID], M585)</f>
        <v>51.61</v>
      </c>
    </row>
    <row r="586" spans="1:16" x14ac:dyDescent="0.25">
      <c r="A586">
        <v>1252</v>
      </c>
      <c r="B586">
        <v>488</v>
      </c>
      <c r="C586" s="1">
        <v>45317</v>
      </c>
      <c r="D586">
        <v>342.08</v>
      </c>
      <c r="E586" t="s">
        <v>17</v>
      </c>
      <c r="F586" t="s">
        <v>16</v>
      </c>
      <c r="G586">
        <f>COUNTIF(Data[CustomerID], Data[[#This Row],[CustomerID]])</f>
        <v>5</v>
      </c>
      <c r="H586" s="1" t="str">
        <f>TEXT(Data[OrderDate],"yyyy-mmm")</f>
        <v>2024-Jan</v>
      </c>
      <c r="I586">
        <f>IF(
   COUNTIFS(
      Data[CustomerID], Data[[#This Row],[CustomerID]],
      Data[OrderDate], "&lt;" &amp; EOMONTH(Data[[#This Row],[OrderDate]], -1) + 1
   ) &gt; 0,
   1,
   0
)</f>
        <v>1</v>
      </c>
      <c r="J586">
        <f>YEAR(Data[[#This Row],[OrderDate]])</f>
        <v>2024</v>
      </c>
      <c r="K586" s="2">
        <f>MONTH(Data[[#This Row],[OrderDate]])</f>
        <v>1</v>
      </c>
      <c r="M586" s="12">
        <v>1732</v>
      </c>
      <c r="N586" s="21">
        <f>MAX(Data[OrderDate])-_xlfn.MAXIFS(Data[OrderDate],Data[CustomerID],M586)</f>
        <v>586</v>
      </c>
      <c r="O586" s="22">
        <f>COUNTIFS(Data[CustomerID], M586)</f>
        <v>1</v>
      </c>
      <c r="P586" s="23">
        <f>SUMIFS(Data[Amount], Data[CustomerID], M586)</f>
        <v>51.24</v>
      </c>
    </row>
    <row r="587" spans="1:16" x14ac:dyDescent="0.25">
      <c r="A587">
        <v>1905</v>
      </c>
      <c r="B587">
        <v>677</v>
      </c>
      <c r="C587" s="1">
        <v>45317</v>
      </c>
      <c r="D587">
        <v>164.44</v>
      </c>
      <c r="E587" t="s">
        <v>15</v>
      </c>
      <c r="F587" t="s">
        <v>7</v>
      </c>
      <c r="G587">
        <f>COUNTIF(Data[CustomerID], Data[[#This Row],[CustomerID]])</f>
        <v>1</v>
      </c>
      <c r="H587" s="1" t="str">
        <f>TEXT(Data[OrderDate],"yyyy-mmm")</f>
        <v>2024-Jan</v>
      </c>
      <c r="I587">
        <f>IF(
   COUNTIFS(
      Data[CustomerID], Data[[#This Row],[CustomerID]],
      Data[OrderDate], "&lt;" &amp; EOMONTH(Data[[#This Row],[OrderDate]], -1) + 1
   ) &gt; 0,
   1,
   0
)</f>
        <v>0</v>
      </c>
      <c r="J587">
        <f>YEAR(Data[[#This Row],[OrderDate]])</f>
        <v>2024</v>
      </c>
      <c r="K587" s="2">
        <f>MONTH(Data[[#This Row],[OrderDate]])</f>
        <v>1</v>
      </c>
      <c r="M587" s="12">
        <v>1540</v>
      </c>
      <c r="N587" s="21">
        <f>MAX(Data[OrderDate])-_xlfn.MAXIFS(Data[OrderDate],Data[CustomerID],M587)</f>
        <v>184</v>
      </c>
      <c r="O587" s="22">
        <f>COUNTIFS(Data[CustomerID], M587)</f>
        <v>1</v>
      </c>
      <c r="P587" s="23">
        <f>SUMIFS(Data[Amount], Data[CustomerID], M587)</f>
        <v>49.79</v>
      </c>
    </row>
    <row r="588" spans="1:16" x14ac:dyDescent="0.25">
      <c r="A588">
        <v>1347</v>
      </c>
      <c r="B588">
        <v>234</v>
      </c>
      <c r="C588" s="1">
        <v>45318</v>
      </c>
      <c r="D588">
        <v>88.38</v>
      </c>
      <c r="E588" t="s">
        <v>9</v>
      </c>
      <c r="F588" t="s">
        <v>7</v>
      </c>
      <c r="G588">
        <f>COUNTIF(Data[CustomerID], Data[[#This Row],[CustomerID]])</f>
        <v>3</v>
      </c>
      <c r="H588" s="1" t="str">
        <f>TEXT(Data[OrderDate],"yyyy-mmm")</f>
        <v>2024-Jan</v>
      </c>
      <c r="I588">
        <f>IF(
   COUNTIFS(
      Data[CustomerID], Data[[#This Row],[CustomerID]],
      Data[OrderDate], "&lt;" &amp; EOMONTH(Data[[#This Row],[OrderDate]], -1) + 1
   ) &gt; 0,
   1,
   0
)</f>
        <v>0</v>
      </c>
      <c r="J588">
        <f>YEAR(Data[[#This Row],[OrderDate]])</f>
        <v>2024</v>
      </c>
      <c r="K588" s="2">
        <f>MONTH(Data[[#This Row],[OrderDate]])</f>
        <v>1</v>
      </c>
      <c r="M588" s="12">
        <v>1595</v>
      </c>
      <c r="N588" s="21">
        <f>MAX(Data[OrderDate])-_xlfn.MAXIFS(Data[OrderDate],Data[CustomerID],M588)</f>
        <v>441</v>
      </c>
      <c r="O588" s="22">
        <f>COUNTIFS(Data[CustomerID], M588)</f>
        <v>1</v>
      </c>
      <c r="P588" s="23">
        <f>SUMIFS(Data[Amount], Data[CustomerID], M588)</f>
        <v>48.98</v>
      </c>
    </row>
    <row r="589" spans="1:16" x14ac:dyDescent="0.25">
      <c r="A589">
        <v>1768</v>
      </c>
      <c r="B589">
        <v>179</v>
      </c>
      <c r="C589" s="1">
        <v>45320</v>
      </c>
      <c r="D589">
        <v>85.38</v>
      </c>
      <c r="E589" t="s">
        <v>6</v>
      </c>
      <c r="F589" t="s">
        <v>19</v>
      </c>
      <c r="G589">
        <f>COUNTIF(Data[CustomerID], Data[[#This Row],[CustomerID]])</f>
        <v>2</v>
      </c>
      <c r="H589" s="1" t="str">
        <f>TEXT(Data[OrderDate],"yyyy-mmm")</f>
        <v>2024-Jan</v>
      </c>
      <c r="I589">
        <f>IF(
   COUNTIFS(
      Data[CustomerID], Data[[#This Row],[CustomerID]],
      Data[OrderDate], "&lt;" &amp; EOMONTH(Data[[#This Row],[OrderDate]], -1) + 1
   ) &gt; 0,
   1,
   0
)</f>
        <v>0</v>
      </c>
      <c r="J589">
        <f>YEAR(Data[[#This Row],[OrderDate]])</f>
        <v>2024</v>
      </c>
      <c r="K589" s="2">
        <f>MONTH(Data[[#This Row],[OrderDate]])</f>
        <v>1</v>
      </c>
      <c r="M589" s="12">
        <v>1929</v>
      </c>
      <c r="N589" s="21">
        <f>MAX(Data[OrderDate])-_xlfn.MAXIFS(Data[OrderDate],Data[CustomerID],M589)</f>
        <v>192</v>
      </c>
      <c r="O589" s="22">
        <f>COUNTIFS(Data[CustomerID], M589)</f>
        <v>1</v>
      </c>
      <c r="P589" s="23">
        <f>SUMIFS(Data[Amount], Data[CustomerID], M589)</f>
        <v>48.84</v>
      </c>
    </row>
    <row r="590" spans="1:16" x14ac:dyDescent="0.25">
      <c r="A590">
        <v>1131</v>
      </c>
      <c r="B590">
        <v>868</v>
      </c>
      <c r="C590" s="1">
        <v>45320</v>
      </c>
      <c r="D590">
        <v>489.99</v>
      </c>
      <c r="E590" t="s">
        <v>9</v>
      </c>
      <c r="F590" t="s">
        <v>18</v>
      </c>
      <c r="G590">
        <f>COUNTIF(Data[CustomerID], Data[[#This Row],[CustomerID]])</f>
        <v>1</v>
      </c>
      <c r="H590" s="1" t="str">
        <f>TEXT(Data[OrderDate],"yyyy-mmm")</f>
        <v>2024-Jan</v>
      </c>
      <c r="I590">
        <f>IF(
   COUNTIFS(
      Data[CustomerID], Data[[#This Row],[CustomerID]],
      Data[OrderDate], "&lt;" &amp; EOMONTH(Data[[#This Row],[OrderDate]], -1) + 1
   ) &gt; 0,
   1,
   0
)</f>
        <v>0</v>
      </c>
      <c r="J590">
        <f>YEAR(Data[[#This Row],[OrderDate]])</f>
        <v>2024</v>
      </c>
      <c r="K590" s="2">
        <f>MONTH(Data[[#This Row],[OrderDate]])</f>
        <v>1</v>
      </c>
      <c r="M590" s="12">
        <v>1688</v>
      </c>
      <c r="N590" s="21">
        <f>MAX(Data[OrderDate])-_xlfn.MAXIFS(Data[OrderDate],Data[CustomerID],M590)</f>
        <v>320</v>
      </c>
      <c r="O590" s="22">
        <f>COUNTIFS(Data[CustomerID], M590)</f>
        <v>1</v>
      </c>
      <c r="P590" s="23">
        <f>SUMIFS(Data[Amount], Data[CustomerID], M590)</f>
        <v>47.78</v>
      </c>
    </row>
    <row r="591" spans="1:16" x14ac:dyDescent="0.25">
      <c r="A591">
        <v>1568</v>
      </c>
      <c r="B591">
        <v>816</v>
      </c>
      <c r="C591" s="1">
        <v>45321</v>
      </c>
      <c r="D591">
        <v>473.59</v>
      </c>
      <c r="E591" t="s">
        <v>9</v>
      </c>
      <c r="F591" t="s">
        <v>10</v>
      </c>
      <c r="G591">
        <f>COUNTIF(Data[CustomerID], Data[[#This Row],[CustomerID]])</f>
        <v>1</v>
      </c>
      <c r="H591" s="1" t="str">
        <f>TEXT(Data[OrderDate],"yyyy-mmm")</f>
        <v>2024-Jan</v>
      </c>
      <c r="I591">
        <f>IF(
   COUNTIFS(
      Data[CustomerID], Data[[#This Row],[CustomerID]],
      Data[OrderDate], "&lt;" &amp; EOMONTH(Data[[#This Row],[OrderDate]], -1) + 1
   ) &gt; 0,
   1,
   0
)</f>
        <v>0</v>
      </c>
      <c r="J591">
        <f>YEAR(Data[[#This Row],[OrderDate]])</f>
        <v>2024</v>
      </c>
      <c r="K591" s="2">
        <f>MONTH(Data[[#This Row],[OrderDate]])</f>
        <v>1</v>
      </c>
      <c r="M591" s="12">
        <v>1805</v>
      </c>
      <c r="N591" s="21">
        <f>MAX(Data[OrderDate])-_xlfn.MAXIFS(Data[OrderDate],Data[CustomerID],M591)</f>
        <v>242</v>
      </c>
      <c r="O591" s="22">
        <f>COUNTIFS(Data[CustomerID], M591)</f>
        <v>1</v>
      </c>
      <c r="P591" s="23">
        <f>SUMIFS(Data[Amount], Data[CustomerID], M591)</f>
        <v>45.84</v>
      </c>
    </row>
    <row r="592" spans="1:16" x14ac:dyDescent="0.25">
      <c r="A592">
        <v>1159</v>
      </c>
      <c r="B592">
        <v>375</v>
      </c>
      <c r="C592" s="1">
        <v>45322</v>
      </c>
      <c r="D592">
        <v>64.319999999999993</v>
      </c>
      <c r="E592" t="s">
        <v>11</v>
      </c>
      <c r="F592" t="s">
        <v>16</v>
      </c>
      <c r="G592">
        <f>COUNTIF(Data[CustomerID], Data[[#This Row],[CustomerID]])</f>
        <v>3</v>
      </c>
      <c r="H592" s="1" t="str">
        <f>TEXT(Data[OrderDate],"yyyy-mmm")</f>
        <v>2024-Jan</v>
      </c>
      <c r="I592">
        <f>IF(
   COUNTIFS(
      Data[CustomerID], Data[[#This Row],[CustomerID]],
      Data[OrderDate], "&lt;" &amp; EOMONTH(Data[[#This Row],[OrderDate]], -1) + 1
   ) &gt; 0,
   1,
   0
)</f>
        <v>1</v>
      </c>
      <c r="J592">
        <f>YEAR(Data[[#This Row],[OrderDate]])</f>
        <v>2024</v>
      </c>
      <c r="K592" s="2">
        <f>MONTH(Data[[#This Row],[OrderDate]])</f>
        <v>1</v>
      </c>
      <c r="M592" s="12">
        <v>1539</v>
      </c>
      <c r="N592" s="21">
        <f>MAX(Data[OrderDate])-_xlfn.MAXIFS(Data[OrderDate],Data[CustomerID],M592)</f>
        <v>429</v>
      </c>
      <c r="O592" s="22">
        <f>COUNTIFS(Data[CustomerID], M592)</f>
        <v>1</v>
      </c>
      <c r="P592" s="23">
        <f>SUMIFS(Data[Amount], Data[CustomerID], M592)</f>
        <v>41.75</v>
      </c>
    </row>
    <row r="593" spans="1:16" x14ac:dyDescent="0.25">
      <c r="A593">
        <v>1407</v>
      </c>
      <c r="B593">
        <v>531</v>
      </c>
      <c r="C593" s="1">
        <v>45322</v>
      </c>
      <c r="D593">
        <v>494.2</v>
      </c>
      <c r="E593" t="s">
        <v>13</v>
      </c>
      <c r="F593" t="s">
        <v>7</v>
      </c>
      <c r="G593">
        <f>COUNTIF(Data[CustomerID], Data[[#This Row],[CustomerID]])</f>
        <v>2</v>
      </c>
      <c r="H593" s="1" t="str">
        <f>TEXT(Data[OrderDate],"yyyy-mmm")</f>
        <v>2024-Jan</v>
      </c>
      <c r="I593">
        <f>IF(
   COUNTIFS(
      Data[CustomerID], Data[[#This Row],[CustomerID]],
      Data[OrderDate], "&lt;" &amp; EOMONTH(Data[[#This Row],[OrderDate]], -1) + 1
   ) &gt; 0,
   1,
   0
)</f>
        <v>1</v>
      </c>
      <c r="J593">
        <f>YEAR(Data[[#This Row],[OrderDate]])</f>
        <v>2024</v>
      </c>
      <c r="K593" s="2">
        <f>MONTH(Data[[#This Row],[OrderDate]])</f>
        <v>1</v>
      </c>
      <c r="M593" s="12">
        <v>1833</v>
      </c>
      <c r="N593" s="21">
        <f>MAX(Data[OrderDate])-_xlfn.MAXIFS(Data[OrderDate],Data[CustomerID],M593)</f>
        <v>463</v>
      </c>
      <c r="O593" s="22">
        <f>COUNTIFS(Data[CustomerID], M593)</f>
        <v>1</v>
      </c>
      <c r="P593" s="23">
        <f>SUMIFS(Data[Amount], Data[CustomerID], M593)</f>
        <v>39.01</v>
      </c>
    </row>
    <row r="594" spans="1:16" x14ac:dyDescent="0.25">
      <c r="A594">
        <v>1834</v>
      </c>
      <c r="B594">
        <v>708</v>
      </c>
      <c r="C594" s="1">
        <v>45323</v>
      </c>
      <c r="D594">
        <v>86.82</v>
      </c>
      <c r="E594" t="s">
        <v>6</v>
      </c>
      <c r="F594" t="s">
        <v>7</v>
      </c>
      <c r="G594">
        <f>COUNTIF(Data[CustomerID], Data[[#This Row],[CustomerID]])</f>
        <v>1</v>
      </c>
      <c r="H594" s="1" t="str">
        <f>TEXT(Data[OrderDate],"yyyy-mmm")</f>
        <v>2024-Feb</v>
      </c>
      <c r="I594">
        <f>IF(
   COUNTIFS(
      Data[CustomerID], Data[[#This Row],[CustomerID]],
      Data[OrderDate], "&lt;" &amp; EOMONTH(Data[[#This Row],[OrderDate]], -1) + 1
   ) &gt; 0,
   1,
   0
)</f>
        <v>0</v>
      </c>
      <c r="J594">
        <f>YEAR(Data[[#This Row],[OrderDate]])</f>
        <v>2024</v>
      </c>
      <c r="K594" s="2">
        <f>MONTH(Data[[#This Row],[OrderDate]])</f>
        <v>2</v>
      </c>
      <c r="M594" s="12">
        <v>1079</v>
      </c>
      <c r="N594" s="21">
        <f>MAX(Data[OrderDate])-_xlfn.MAXIFS(Data[OrderDate],Data[CustomerID],M594)</f>
        <v>415</v>
      </c>
      <c r="O594" s="22">
        <f>COUNTIFS(Data[CustomerID], M594)</f>
        <v>1</v>
      </c>
      <c r="P594" s="23">
        <f>SUMIFS(Data[Amount], Data[CustomerID], M594)</f>
        <v>38.909999999999997</v>
      </c>
    </row>
    <row r="595" spans="1:16" x14ac:dyDescent="0.25">
      <c r="A595">
        <v>1512</v>
      </c>
      <c r="B595">
        <v>939</v>
      </c>
      <c r="C595" s="1">
        <v>45323</v>
      </c>
      <c r="D595">
        <v>209.32</v>
      </c>
      <c r="E595" t="s">
        <v>9</v>
      </c>
      <c r="F595" t="s">
        <v>10</v>
      </c>
      <c r="G595">
        <f>COUNTIF(Data[CustomerID], Data[[#This Row],[CustomerID]])</f>
        <v>2</v>
      </c>
      <c r="H595" s="1" t="str">
        <f>TEXT(Data[OrderDate],"yyyy-mmm")</f>
        <v>2024-Feb</v>
      </c>
      <c r="I595">
        <f>IF(
   COUNTIFS(
      Data[CustomerID], Data[[#This Row],[CustomerID]],
      Data[OrderDate], "&lt;" &amp; EOMONTH(Data[[#This Row],[OrderDate]], -1) + 1
   ) &gt; 0,
   1,
   0
)</f>
        <v>1</v>
      </c>
      <c r="J595">
        <f>YEAR(Data[[#This Row],[OrderDate]])</f>
        <v>2024</v>
      </c>
      <c r="K595" s="2">
        <f>MONTH(Data[[#This Row],[OrderDate]])</f>
        <v>2</v>
      </c>
      <c r="M595" s="12">
        <v>1127</v>
      </c>
      <c r="N595" s="21">
        <f>MAX(Data[OrderDate])-_xlfn.MAXIFS(Data[OrderDate],Data[CustomerID],M595)</f>
        <v>461</v>
      </c>
      <c r="O595" s="22">
        <f>COUNTIFS(Data[CustomerID], M595)</f>
        <v>1</v>
      </c>
      <c r="P595" s="23">
        <f>SUMIFS(Data[Amount], Data[CustomerID], M595)</f>
        <v>36.99</v>
      </c>
    </row>
    <row r="596" spans="1:16" x14ac:dyDescent="0.25">
      <c r="A596">
        <v>1868</v>
      </c>
      <c r="B596">
        <v>751</v>
      </c>
      <c r="C596" s="1">
        <v>45325</v>
      </c>
      <c r="D596">
        <v>311.75</v>
      </c>
      <c r="E596" t="s">
        <v>15</v>
      </c>
      <c r="F596" t="s">
        <v>10</v>
      </c>
      <c r="G596">
        <f>COUNTIF(Data[CustomerID], Data[[#This Row],[CustomerID]])</f>
        <v>2</v>
      </c>
      <c r="H596" s="1" t="str">
        <f>TEXT(Data[OrderDate],"yyyy-mmm")</f>
        <v>2024-Feb</v>
      </c>
      <c r="I596">
        <f>IF(
   COUNTIFS(
      Data[CustomerID], Data[[#This Row],[CustomerID]],
      Data[OrderDate], "&lt;" &amp; EOMONTH(Data[[#This Row],[OrderDate]], -1) + 1
   ) &gt; 0,
   1,
   0
)</f>
        <v>1</v>
      </c>
      <c r="J596">
        <f>YEAR(Data[[#This Row],[OrderDate]])</f>
        <v>2024</v>
      </c>
      <c r="K596" s="2">
        <f>MONTH(Data[[#This Row],[OrderDate]])</f>
        <v>2</v>
      </c>
      <c r="M596" s="12">
        <v>1739</v>
      </c>
      <c r="N596" s="21">
        <f>MAX(Data[OrderDate])-_xlfn.MAXIFS(Data[OrderDate],Data[CustomerID],M596)</f>
        <v>116</v>
      </c>
      <c r="O596" s="22">
        <f>COUNTIFS(Data[CustomerID], M596)</f>
        <v>1</v>
      </c>
      <c r="P596" s="23">
        <f>SUMIFS(Data[Amount], Data[CustomerID], M596)</f>
        <v>36.92</v>
      </c>
    </row>
    <row r="597" spans="1:16" x14ac:dyDescent="0.25">
      <c r="A597">
        <v>1566</v>
      </c>
      <c r="B597">
        <v>54</v>
      </c>
      <c r="C597" s="1">
        <v>45327</v>
      </c>
      <c r="D597">
        <v>243.05</v>
      </c>
      <c r="E597" t="s">
        <v>17</v>
      </c>
      <c r="F597" t="s">
        <v>10</v>
      </c>
      <c r="G597">
        <f>COUNTIF(Data[CustomerID], Data[[#This Row],[CustomerID]])</f>
        <v>1</v>
      </c>
      <c r="H597" s="1" t="str">
        <f>TEXT(Data[OrderDate],"yyyy-mmm")</f>
        <v>2024-Feb</v>
      </c>
      <c r="I597">
        <f>IF(
   COUNTIFS(
      Data[CustomerID], Data[[#This Row],[CustomerID]],
      Data[OrderDate], "&lt;" &amp; EOMONTH(Data[[#This Row],[OrderDate]], -1) + 1
   ) &gt; 0,
   1,
   0
)</f>
        <v>0</v>
      </c>
      <c r="J597">
        <f>YEAR(Data[[#This Row],[OrderDate]])</f>
        <v>2024</v>
      </c>
      <c r="K597" s="2">
        <f>MONTH(Data[[#This Row],[OrderDate]])</f>
        <v>2</v>
      </c>
      <c r="M597" s="12">
        <v>1830</v>
      </c>
      <c r="N597" s="21">
        <f>MAX(Data[OrderDate])-_xlfn.MAXIFS(Data[OrderDate],Data[CustomerID],M597)</f>
        <v>188</v>
      </c>
      <c r="O597" s="22">
        <f>COUNTIFS(Data[CustomerID], M597)</f>
        <v>1</v>
      </c>
      <c r="P597" s="23">
        <f>SUMIFS(Data[Amount], Data[CustomerID], M597)</f>
        <v>31.66</v>
      </c>
    </row>
    <row r="598" spans="1:16" x14ac:dyDescent="0.25">
      <c r="A598">
        <v>1508</v>
      </c>
      <c r="B598">
        <v>81</v>
      </c>
      <c r="C598" s="1">
        <v>45327</v>
      </c>
      <c r="D598">
        <v>91.23</v>
      </c>
      <c r="E598" t="s">
        <v>15</v>
      </c>
      <c r="F598" t="s">
        <v>18</v>
      </c>
      <c r="G598">
        <f>COUNTIF(Data[CustomerID], Data[[#This Row],[CustomerID]])</f>
        <v>1</v>
      </c>
      <c r="H598" s="1" t="str">
        <f>TEXT(Data[OrderDate],"yyyy-mmm")</f>
        <v>2024-Feb</v>
      </c>
      <c r="I598">
        <f>IF(
   COUNTIFS(
      Data[CustomerID], Data[[#This Row],[CustomerID]],
      Data[OrderDate], "&lt;" &amp; EOMONTH(Data[[#This Row],[OrderDate]], -1) + 1
   ) &gt; 0,
   1,
   0
)</f>
        <v>0</v>
      </c>
      <c r="J598">
        <f>YEAR(Data[[#This Row],[OrderDate]])</f>
        <v>2024</v>
      </c>
      <c r="K598" s="2">
        <f>MONTH(Data[[#This Row],[OrderDate]])</f>
        <v>2</v>
      </c>
      <c r="M598" s="12">
        <v>1827</v>
      </c>
      <c r="N598" s="21">
        <f>MAX(Data[OrderDate])-_xlfn.MAXIFS(Data[OrderDate],Data[CustomerID],M598)</f>
        <v>439</v>
      </c>
      <c r="O598" s="22">
        <f>COUNTIFS(Data[CustomerID], M598)</f>
        <v>1</v>
      </c>
      <c r="P598" s="23">
        <f>SUMIFS(Data[Amount], Data[CustomerID], M598)</f>
        <v>28.68</v>
      </c>
    </row>
    <row r="599" spans="1:16" x14ac:dyDescent="0.25">
      <c r="A599">
        <v>1046</v>
      </c>
      <c r="B599">
        <v>587</v>
      </c>
      <c r="C599" s="1">
        <v>45327</v>
      </c>
      <c r="D599">
        <v>250.54</v>
      </c>
      <c r="E599" t="s">
        <v>11</v>
      </c>
      <c r="F599" t="s">
        <v>19</v>
      </c>
      <c r="G599">
        <f>COUNTIF(Data[CustomerID], Data[[#This Row],[CustomerID]])</f>
        <v>3</v>
      </c>
      <c r="H599" s="1" t="str">
        <f>TEXT(Data[OrderDate],"yyyy-mmm")</f>
        <v>2024-Feb</v>
      </c>
      <c r="I599">
        <f>IF(
   COUNTIFS(
      Data[CustomerID], Data[[#This Row],[CustomerID]],
      Data[OrderDate], "&lt;" &amp; EOMONTH(Data[[#This Row],[OrderDate]], -1) + 1
   ) &gt; 0,
   1,
   0
)</f>
        <v>0</v>
      </c>
      <c r="J599">
        <f>YEAR(Data[[#This Row],[OrderDate]])</f>
        <v>2024</v>
      </c>
      <c r="K599" s="2">
        <f>MONTH(Data[[#This Row],[OrderDate]])</f>
        <v>2</v>
      </c>
      <c r="M599" s="12">
        <v>1393</v>
      </c>
      <c r="N599" s="21">
        <f>MAX(Data[OrderDate])-_xlfn.MAXIFS(Data[OrderDate],Data[CustomerID],M599)</f>
        <v>115</v>
      </c>
      <c r="O599" s="22">
        <f>COUNTIFS(Data[CustomerID], M599)</f>
        <v>1</v>
      </c>
      <c r="P599" s="23">
        <f>SUMIFS(Data[Amount], Data[CustomerID], M599)</f>
        <v>28.02</v>
      </c>
    </row>
    <row r="600" spans="1:16" x14ac:dyDescent="0.25">
      <c r="A600">
        <v>1801</v>
      </c>
      <c r="B600">
        <v>674</v>
      </c>
      <c r="C600" s="1">
        <v>45327</v>
      </c>
      <c r="D600">
        <v>301.69</v>
      </c>
      <c r="E600" t="s">
        <v>13</v>
      </c>
      <c r="F600" t="s">
        <v>18</v>
      </c>
      <c r="G600">
        <f>COUNTIF(Data[CustomerID], Data[[#This Row],[CustomerID]])</f>
        <v>2</v>
      </c>
      <c r="H600" s="1" t="str">
        <f>TEXT(Data[OrderDate],"yyyy-mmm")</f>
        <v>2024-Feb</v>
      </c>
      <c r="I600">
        <f>IF(
   COUNTIFS(
      Data[CustomerID], Data[[#This Row],[CustomerID]],
      Data[OrderDate], "&lt;" &amp; EOMONTH(Data[[#This Row],[OrderDate]], -1) + 1
   ) &gt; 0,
   1,
   0
)</f>
        <v>0</v>
      </c>
      <c r="J600">
        <f>YEAR(Data[[#This Row],[OrderDate]])</f>
        <v>2024</v>
      </c>
      <c r="K600" s="2">
        <f>MONTH(Data[[#This Row],[OrderDate]])</f>
        <v>2</v>
      </c>
      <c r="M600" s="12">
        <v>1825</v>
      </c>
      <c r="N600" s="21">
        <f>MAX(Data[OrderDate])-_xlfn.MAXIFS(Data[OrderDate],Data[CustomerID],M600)</f>
        <v>123</v>
      </c>
      <c r="O600" s="22">
        <f>COUNTIFS(Data[CustomerID], M600)</f>
        <v>1</v>
      </c>
      <c r="P600" s="23">
        <f>SUMIFS(Data[Amount], Data[CustomerID], M600)</f>
        <v>27.07</v>
      </c>
    </row>
    <row r="601" spans="1:16" x14ac:dyDescent="0.25">
      <c r="A601">
        <v>1057</v>
      </c>
      <c r="B601">
        <v>913</v>
      </c>
      <c r="C601" s="1">
        <v>45327</v>
      </c>
      <c r="D601">
        <v>329.36</v>
      </c>
      <c r="E601" t="s">
        <v>9</v>
      </c>
      <c r="F601" t="s">
        <v>7</v>
      </c>
      <c r="G601">
        <f>COUNTIF(Data[CustomerID], Data[[#This Row],[CustomerID]])</f>
        <v>4</v>
      </c>
      <c r="H601" s="1" t="str">
        <f>TEXT(Data[OrderDate],"yyyy-mmm")</f>
        <v>2024-Feb</v>
      </c>
      <c r="I601">
        <f>IF(
   COUNTIFS(
      Data[CustomerID], Data[[#This Row],[CustomerID]],
      Data[OrderDate], "&lt;" &amp; EOMONTH(Data[[#This Row],[OrderDate]], -1) + 1
   ) &gt; 0,
   1,
   0
)</f>
        <v>1</v>
      </c>
      <c r="J601">
        <f>YEAR(Data[[#This Row],[OrderDate]])</f>
        <v>2024</v>
      </c>
      <c r="K601" s="2">
        <f>MONTH(Data[[#This Row],[OrderDate]])</f>
        <v>2</v>
      </c>
      <c r="M601" s="12">
        <v>1017</v>
      </c>
      <c r="N601" s="21">
        <f>MAX(Data[OrderDate])-_xlfn.MAXIFS(Data[OrderDate],Data[CustomerID],M601)</f>
        <v>471</v>
      </c>
      <c r="O601" s="22">
        <f>COUNTIFS(Data[CustomerID], M601)</f>
        <v>1</v>
      </c>
      <c r="P601" s="23">
        <f>SUMIFS(Data[Amount], Data[CustomerID], M601)</f>
        <v>26.1</v>
      </c>
    </row>
    <row r="602" spans="1:16" x14ac:dyDescent="0.25">
      <c r="A602">
        <v>1709</v>
      </c>
      <c r="B602">
        <v>301</v>
      </c>
      <c r="C602" s="1">
        <v>45328</v>
      </c>
      <c r="D602">
        <v>131.54</v>
      </c>
      <c r="E602" t="s">
        <v>8</v>
      </c>
      <c r="F602" t="s">
        <v>10</v>
      </c>
      <c r="G602">
        <f>COUNTIF(Data[CustomerID], Data[[#This Row],[CustomerID]])</f>
        <v>2</v>
      </c>
      <c r="H602" s="1" t="str">
        <f>TEXT(Data[OrderDate],"yyyy-mmm")</f>
        <v>2024-Feb</v>
      </c>
      <c r="I602">
        <f>IF(
   COUNTIFS(
      Data[CustomerID], Data[[#This Row],[CustomerID]],
      Data[OrderDate], "&lt;" &amp; EOMONTH(Data[[#This Row],[OrderDate]], -1) + 1
   ) &gt; 0,
   1,
   0
)</f>
        <v>1</v>
      </c>
      <c r="J602">
        <f>YEAR(Data[[#This Row],[OrderDate]])</f>
        <v>2024</v>
      </c>
      <c r="K602" s="2">
        <f>MONTH(Data[[#This Row],[OrderDate]])</f>
        <v>2</v>
      </c>
      <c r="M602" s="12">
        <v>1243</v>
      </c>
      <c r="N602" s="21">
        <f>MAX(Data[OrderDate])-_xlfn.MAXIFS(Data[OrderDate],Data[CustomerID],M602)</f>
        <v>76</v>
      </c>
      <c r="O602" s="22">
        <f>COUNTIFS(Data[CustomerID], M602)</f>
        <v>1</v>
      </c>
      <c r="P602" s="23">
        <f>SUMIFS(Data[Amount], Data[CustomerID], M602)</f>
        <v>25.17</v>
      </c>
    </row>
    <row r="603" spans="1:16" x14ac:dyDescent="0.25">
      <c r="A603">
        <v>1758</v>
      </c>
      <c r="B603">
        <v>688</v>
      </c>
      <c r="C603" s="1">
        <v>45328</v>
      </c>
      <c r="D603">
        <v>369.08</v>
      </c>
      <c r="E603" t="s">
        <v>8</v>
      </c>
      <c r="F603" t="s">
        <v>12</v>
      </c>
      <c r="G603">
        <f>COUNTIF(Data[CustomerID], Data[[#This Row],[CustomerID]])</f>
        <v>2</v>
      </c>
      <c r="H603" s="1" t="str">
        <f>TEXT(Data[OrderDate],"yyyy-mmm")</f>
        <v>2024-Feb</v>
      </c>
      <c r="I603">
        <f>IF(
   COUNTIFS(
      Data[CustomerID], Data[[#This Row],[CustomerID]],
      Data[OrderDate], "&lt;" &amp; EOMONTH(Data[[#This Row],[OrderDate]], -1) + 1
   ) &gt; 0,
   1,
   0
)</f>
        <v>0</v>
      </c>
      <c r="J603">
        <f>YEAR(Data[[#This Row],[OrderDate]])</f>
        <v>2024</v>
      </c>
      <c r="K603" s="2">
        <f>MONTH(Data[[#This Row],[OrderDate]])</f>
        <v>2</v>
      </c>
      <c r="M603" s="12">
        <v>1500</v>
      </c>
      <c r="N603" s="21">
        <f>MAX(Data[OrderDate])-_xlfn.MAXIFS(Data[OrderDate],Data[CustomerID],M603)</f>
        <v>11</v>
      </c>
      <c r="O603" s="22">
        <f>COUNTIFS(Data[CustomerID], M603)</f>
        <v>1</v>
      </c>
      <c r="P603" s="23">
        <f>SUMIFS(Data[Amount], Data[CustomerID], M603)</f>
        <v>22.96</v>
      </c>
    </row>
    <row r="604" spans="1:16" x14ac:dyDescent="0.25">
      <c r="A604">
        <v>1815</v>
      </c>
      <c r="B604">
        <v>108</v>
      </c>
      <c r="C604" s="1">
        <v>45329</v>
      </c>
      <c r="D604">
        <v>318.11</v>
      </c>
      <c r="E604" t="s">
        <v>11</v>
      </c>
      <c r="F604" t="s">
        <v>12</v>
      </c>
      <c r="G604">
        <f>COUNTIF(Data[CustomerID], Data[[#This Row],[CustomerID]])</f>
        <v>4</v>
      </c>
      <c r="H604" s="1" t="str">
        <f>TEXT(Data[OrderDate],"yyyy-mmm")</f>
        <v>2024-Feb</v>
      </c>
      <c r="I604">
        <f>IF(
   COUNTIFS(
      Data[CustomerID], Data[[#This Row],[CustomerID]],
      Data[OrderDate], "&lt;" &amp; EOMONTH(Data[[#This Row],[OrderDate]], -1) + 1
   ) &gt; 0,
   1,
   0
)</f>
        <v>1</v>
      </c>
      <c r="J604">
        <f>YEAR(Data[[#This Row],[OrderDate]])</f>
        <v>2024</v>
      </c>
      <c r="K604" s="2">
        <f>MONTH(Data[[#This Row],[OrderDate]])</f>
        <v>2</v>
      </c>
      <c r="M604" s="12">
        <v>1019</v>
      </c>
      <c r="N604" s="21">
        <f>MAX(Data[OrderDate])-_xlfn.MAXIFS(Data[OrderDate],Data[CustomerID],M604)</f>
        <v>336</v>
      </c>
      <c r="O604" s="22">
        <f>COUNTIFS(Data[CustomerID], M604)</f>
        <v>1</v>
      </c>
      <c r="P604" s="23">
        <f>SUMIFS(Data[Amount], Data[CustomerID], M604)</f>
        <v>22.61</v>
      </c>
    </row>
    <row r="605" spans="1:16" x14ac:dyDescent="0.25">
      <c r="A605">
        <v>1663</v>
      </c>
      <c r="B605">
        <v>19</v>
      </c>
      <c r="C605" s="1">
        <v>45331</v>
      </c>
      <c r="D605">
        <v>243.77</v>
      </c>
      <c r="E605" t="s">
        <v>9</v>
      </c>
      <c r="F605" t="s">
        <v>14</v>
      </c>
      <c r="G605">
        <f>COUNTIF(Data[CustomerID], Data[[#This Row],[CustomerID]])</f>
        <v>4</v>
      </c>
      <c r="H605" s="1" t="str">
        <f>TEXT(Data[OrderDate],"yyyy-mmm")</f>
        <v>2024-Feb</v>
      </c>
      <c r="I605">
        <f>IF(
   COUNTIFS(
      Data[CustomerID], Data[[#This Row],[CustomerID]],
      Data[OrderDate], "&lt;" &amp; EOMONTH(Data[[#This Row],[OrderDate]], -1) + 1
   ) &gt; 0,
   1,
   0
)</f>
        <v>1</v>
      </c>
      <c r="J605">
        <f>YEAR(Data[[#This Row],[OrderDate]])</f>
        <v>2024</v>
      </c>
      <c r="K605" s="2">
        <f>MONTH(Data[[#This Row],[OrderDate]])</f>
        <v>2</v>
      </c>
      <c r="M605" s="12">
        <v>1193</v>
      </c>
      <c r="N605" s="21">
        <f>MAX(Data[OrderDate])-_xlfn.MAXIFS(Data[OrderDate],Data[CustomerID],M605)</f>
        <v>19</v>
      </c>
      <c r="O605" s="22">
        <f>COUNTIFS(Data[CustomerID], M605)</f>
        <v>1</v>
      </c>
      <c r="P605" s="23">
        <f>SUMIFS(Data[Amount], Data[CustomerID], M605)</f>
        <v>21.52</v>
      </c>
    </row>
    <row r="606" spans="1:16" x14ac:dyDescent="0.25">
      <c r="A606">
        <v>1701</v>
      </c>
      <c r="B606">
        <v>114</v>
      </c>
      <c r="C606" s="1">
        <v>45331</v>
      </c>
      <c r="D606">
        <v>53.21</v>
      </c>
      <c r="E606" t="s">
        <v>9</v>
      </c>
      <c r="F606" t="s">
        <v>12</v>
      </c>
      <c r="G606">
        <f>COUNTIF(Data[CustomerID], Data[[#This Row],[CustomerID]])</f>
        <v>1</v>
      </c>
      <c r="H606" s="1" t="str">
        <f>TEXT(Data[OrderDate],"yyyy-mmm")</f>
        <v>2024-Feb</v>
      </c>
      <c r="I606">
        <f>IF(
   COUNTIFS(
      Data[CustomerID], Data[[#This Row],[CustomerID]],
      Data[OrderDate], "&lt;" &amp; EOMONTH(Data[[#This Row],[OrderDate]], -1) + 1
   ) &gt; 0,
   1,
   0
)</f>
        <v>0</v>
      </c>
      <c r="J606">
        <f>YEAR(Data[[#This Row],[OrderDate]])</f>
        <v>2024</v>
      </c>
      <c r="K606" s="2">
        <f>MONTH(Data[[#This Row],[OrderDate]])</f>
        <v>2</v>
      </c>
      <c r="M606" s="12">
        <v>1340</v>
      </c>
      <c r="N606" s="21">
        <f>MAX(Data[OrderDate])-_xlfn.MAXIFS(Data[OrderDate],Data[CustomerID],M606)</f>
        <v>326</v>
      </c>
      <c r="O606" s="22">
        <f>COUNTIFS(Data[CustomerID], M606)</f>
        <v>1</v>
      </c>
      <c r="P606" s="23">
        <f>SUMIFS(Data[Amount], Data[CustomerID], M606)</f>
        <v>19.39</v>
      </c>
    </row>
    <row r="607" spans="1:16" x14ac:dyDescent="0.25">
      <c r="A607">
        <v>1226</v>
      </c>
      <c r="B607">
        <v>398</v>
      </c>
      <c r="C607" s="1">
        <v>45331</v>
      </c>
      <c r="D607">
        <v>143.44999999999999</v>
      </c>
      <c r="E607" t="s">
        <v>17</v>
      </c>
      <c r="F607" t="s">
        <v>10</v>
      </c>
      <c r="G607">
        <f>COUNTIF(Data[CustomerID], Data[[#This Row],[CustomerID]])</f>
        <v>2</v>
      </c>
      <c r="H607" s="1" t="str">
        <f>TEXT(Data[OrderDate],"yyyy-mmm")</f>
        <v>2024-Feb</v>
      </c>
      <c r="I607">
        <f>IF(
   COUNTIFS(
      Data[CustomerID], Data[[#This Row],[CustomerID]],
      Data[OrderDate], "&lt;" &amp; EOMONTH(Data[[#This Row],[OrderDate]], -1) + 1
   ) &gt; 0,
   1,
   0
)</f>
        <v>1</v>
      </c>
      <c r="J607">
        <f>YEAR(Data[[#This Row],[OrderDate]])</f>
        <v>2024</v>
      </c>
      <c r="K607" s="2">
        <f>MONTH(Data[[#This Row],[OrderDate]])</f>
        <v>2</v>
      </c>
      <c r="M607" s="12">
        <v>1449</v>
      </c>
      <c r="N607" s="21">
        <f>MAX(Data[OrderDate])-_xlfn.MAXIFS(Data[OrderDate],Data[CustomerID],M607)</f>
        <v>179</v>
      </c>
      <c r="O607" s="22">
        <f>COUNTIFS(Data[CustomerID], M607)</f>
        <v>1</v>
      </c>
      <c r="P607" s="23">
        <f>SUMIFS(Data[Amount], Data[CustomerID], M607)</f>
        <v>17.45</v>
      </c>
    </row>
    <row r="608" spans="1:16" x14ac:dyDescent="0.25">
      <c r="A608">
        <v>1790</v>
      </c>
      <c r="B608">
        <v>611</v>
      </c>
      <c r="C608" s="1">
        <v>45332</v>
      </c>
      <c r="D608">
        <v>246.76</v>
      </c>
      <c r="E608" t="s">
        <v>8</v>
      </c>
      <c r="F608" t="s">
        <v>12</v>
      </c>
      <c r="G608">
        <f>COUNTIF(Data[CustomerID], Data[[#This Row],[CustomerID]])</f>
        <v>1</v>
      </c>
      <c r="H608" s="1" t="str">
        <f>TEXT(Data[OrderDate],"yyyy-mmm")</f>
        <v>2024-Feb</v>
      </c>
      <c r="I608">
        <f>IF(
   COUNTIFS(
      Data[CustomerID], Data[[#This Row],[CustomerID]],
      Data[OrderDate], "&lt;" &amp; EOMONTH(Data[[#This Row],[OrderDate]], -1) + 1
   ) &gt; 0,
   1,
   0
)</f>
        <v>0</v>
      </c>
      <c r="J608">
        <f>YEAR(Data[[#This Row],[OrderDate]])</f>
        <v>2024</v>
      </c>
      <c r="K608" s="2">
        <f>MONTH(Data[[#This Row],[OrderDate]])</f>
        <v>2</v>
      </c>
      <c r="M608" s="12">
        <v>1996</v>
      </c>
      <c r="N608" s="21">
        <f>MAX(Data[OrderDate])-_xlfn.MAXIFS(Data[OrderDate],Data[CustomerID],M608)</f>
        <v>409</v>
      </c>
      <c r="O608" s="22">
        <f>COUNTIFS(Data[CustomerID], M608)</f>
        <v>2</v>
      </c>
      <c r="P608" s="23">
        <f>SUMIFS(Data[Amount], Data[CustomerID], M608)</f>
        <v>16.740000000000002</v>
      </c>
    </row>
    <row r="609" spans="1:16" x14ac:dyDescent="0.25">
      <c r="A609">
        <v>1851</v>
      </c>
      <c r="B609">
        <v>396</v>
      </c>
      <c r="C609" s="1">
        <v>45333</v>
      </c>
      <c r="D609">
        <v>257.31</v>
      </c>
      <c r="E609" t="s">
        <v>6</v>
      </c>
      <c r="F609" t="s">
        <v>12</v>
      </c>
      <c r="G609">
        <f>COUNTIF(Data[CustomerID], Data[[#This Row],[CustomerID]])</f>
        <v>2</v>
      </c>
      <c r="H609" s="1" t="str">
        <f>TEXT(Data[OrderDate],"yyyy-mmm")</f>
        <v>2024-Feb</v>
      </c>
      <c r="I609">
        <f>IF(
   COUNTIFS(
      Data[CustomerID], Data[[#This Row],[CustomerID]],
      Data[OrderDate], "&lt;" &amp; EOMONTH(Data[[#This Row],[OrderDate]], -1) + 1
   ) &gt; 0,
   1,
   0
)</f>
        <v>1</v>
      </c>
      <c r="J609">
        <f>YEAR(Data[[#This Row],[OrderDate]])</f>
        <v>2024</v>
      </c>
      <c r="K609" s="2">
        <f>MONTH(Data[[#This Row],[OrderDate]])</f>
        <v>2</v>
      </c>
      <c r="M609" s="12">
        <v>1579</v>
      </c>
      <c r="N609" s="21">
        <f>MAX(Data[OrderDate])-_xlfn.MAXIFS(Data[OrderDate],Data[CustomerID],M609)</f>
        <v>163</v>
      </c>
      <c r="O609" s="22">
        <f>COUNTIFS(Data[CustomerID], M609)</f>
        <v>1</v>
      </c>
      <c r="P609" s="23">
        <f>SUMIFS(Data[Amount], Data[CustomerID], M609)</f>
        <v>16.329999999999998</v>
      </c>
    </row>
    <row r="610" spans="1:16" x14ac:dyDescent="0.25">
      <c r="A610">
        <v>1282</v>
      </c>
      <c r="B610">
        <v>241</v>
      </c>
      <c r="C610" s="1">
        <v>45336</v>
      </c>
      <c r="D610">
        <v>457.55</v>
      </c>
      <c r="E610" t="s">
        <v>9</v>
      </c>
      <c r="F610" t="s">
        <v>7</v>
      </c>
      <c r="G610">
        <f>COUNTIF(Data[CustomerID], Data[[#This Row],[CustomerID]])</f>
        <v>2</v>
      </c>
      <c r="H610" s="1" t="str">
        <f>TEXT(Data[OrderDate],"yyyy-mmm")</f>
        <v>2024-Feb</v>
      </c>
      <c r="I610">
        <f>IF(
   COUNTIFS(
      Data[CustomerID], Data[[#This Row],[CustomerID]],
      Data[OrderDate], "&lt;" &amp; EOMONTH(Data[[#This Row],[OrderDate]], -1) + 1
   ) &gt; 0,
   1,
   0
)</f>
        <v>0</v>
      </c>
      <c r="J610">
        <f>YEAR(Data[[#This Row],[OrderDate]])</f>
        <v>2024</v>
      </c>
      <c r="K610" s="2">
        <f>MONTH(Data[[#This Row],[OrderDate]])</f>
        <v>2</v>
      </c>
      <c r="M610" s="12">
        <v>1272</v>
      </c>
      <c r="N610" s="21">
        <f>MAX(Data[OrderDate])-_xlfn.MAXIFS(Data[OrderDate],Data[CustomerID],M610)</f>
        <v>474</v>
      </c>
      <c r="O610" s="22">
        <f>COUNTIFS(Data[CustomerID], M610)</f>
        <v>1</v>
      </c>
      <c r="P610" s="23">
        <f>SUMIFS(Data[Amount], Data[CustomerID], M610)</f>
        <v>15.91</v>
      </c>
    </row>
    <row r="611" spans="1:16" x14ac:dyDescent="0.25">
      <c r="A611">
        <v>1637</v>
      </c>
      <c r="B611">
        <v>295</v>
      </c>
      <c r="C611" s="1">
        <v>45336</v>
      </c>
      <c r="D611">
        <v>325.07</v>
      </c>
      <c r="E611" t="s">
        <v>13</v>
      </c>
      <c r="F611" t="s">
        <v>7</v>
      </c>
      <c r="G611">
        <f>COUNTIF(Data[CustomerID], Data[[#This Row],[CustomerID]])</f>
        <v>3</v>
      </c>
      <c r="H611" s="1" t="str">
        <f>TEXT(Data[OrderDate],"yyyy-mmm")</f>
        <v>2024-Feb</v>
      </c>
      <c r="I611">
        <f>IF(
   COUNTIFS(
      Data[CustomerID], Data[[#This Row],[CustomerID]],
      Data[OrderDate], "&lt;" &amp; EOMONTH(Data[[#This Row],[OrderDate]], -1) + 1
   ) &gt; 0,
   1,
   0
)</f>
        <v>0</v>
      </c>
      <c r="J611">
        <f>YEAR(Data[[#This Row],[OrderDate]])</f>
        <v>2024</v>
      </c>
      <c r="K611" s="2">
        <f>MONTH(Data[[#This Row],[OrderDate]])</f>
        <v>2</v>
      </c>
      <c r="M611" s="12">
        <v>1468</v>
      </c>
      <c r="N611" s="21">
        <f>MAX(Data[OrderDate])-_xlfn.MAXIFS(Data[OrderDate],Data[CustomerID],M611)</f>
        <v>179</v>
      </c>
      <c r="O611" s="22">
        <f>COUNTIFS(Data[CustomerID], M611)</f>
        <v>1</v>
      </c>
      <c r="P611" s="23">
        <f>SUMIFS(Data[Amount], Data[CustomerID], M611)</f>
        <v>13.88</v>
      </c>
    </row>
    <row r="612" spans="1:16" x14ac:dyDescent="0.25">
      <c r="A612">
        <v>1146</v>
      </c>
      <c r="B612">
        <v>338</v>
      </c>
      <c r="C612" s="1">
        <v>45337</v>
      </c>
      <c r="D612">
        <v>324.42</v>
      </c>
      <c r="E612" t="s">
        <v>9</v>
      </c>
      <c r="F612" t="s">
        <v>12</v>
      </c>
      <c r="G612">
        <f>COUNTIF(Data[CustomerID], Data[[#This Row],[CustomerID]])</f>
        <v>1</v>
      </c>
      <c r="H612" s="1" t="str">
        <f>TEXT(Data[OrderDate],"yyyy-mmm")</f>
        <v>2024-Feb</v>
      </c>
      <c r="I612">
        <f>IF(
   COUNTIFS(
      Data[CustomerID], Data[[#This Row],[CustomerID]],
      Data[OrderDate], "&lt;" &amp; EOMONTH(Data[[#This Row],[OrderDate]], -1) + 1
   ) &gt; 0,
   1,
   0
)</f>
        <v>0</v>
      </c>
      <c r="J612">
        <f>YEAR(Data[[#This Row],[OrderDate]])</f>
        <v>2024</v>
      </c>
      <c r="K612" s="2">
        <f>MONTH(Data[[#This Row],[OrderDate]])</f>
        <v>2</v>
      </c>
      <c r="M612" s="12">
        <v>1026</v>
      </c>
      <c r="N612" s="21">
        <f>MAX(Data[OrderDate])-_xlfn.MAXIFS(Data[OrderDate],Data[CustomerID],M612)</f>
        <v>358</v>
      </c>
      <c r="O612" s="22">
        <f>COUNTIFS(Data[CustomerID], M612)</f>
        <v>1</v>
      </c>
      <c r="P612" s="23">
        <f>SUMIFS(Data[Amount], Data[CustomerID], M612)</f>
        <v>13.76</v>
      </c>
    </row>
    <row r="613" spans="1:16" x14ac:dyDescent="0.25">
      <c r="A613">
        <v>1610</v>
      </c>
      <c r="B613">
        <v>360</v>
      </c>
      <c r="C613" s="1">
        <v>45337</v>
      </c>
      <c r="D613">
        <v>170.12</v>
      </c>
      <c r="E613" t="s">
        <v>8</v>
      </c>
      <c r="F613" t="s">
        <v>12</v>
      </c>
      <c r="G613">
        <f>COUNTIF(Data[CustomerID], Data[[#This Row],[CustomerID]])</f>
        <v>1</v>
      </c>
      <c r="H613" s="1" t="str">
        <f>TEXT(Data[OrderDate],"yyyy-mmm")</f>
        <v>2024-Feb</v>
      </c>
      <c r="I613">
        <f>IF(
   COUNTIFS(
      Data[CustomerID], Data[[#This Row],[CustomerID]],
      Data[OrderDate], "&lt;" &amp; EOMONTH(Data[[#This Row],[OrderDate]], -1) + 1
   ) &gt; 0,
   1,
   0
)</f>
        <v>0</v>
      </c>
      <c r="J613">
        <f>YEAR(Data[[#This Row],[OrderDate]])</f>
        <v>2024</v>
      </c>
      <c r="K613" s="2">
        <f>MONTH(Data[[#This Row],[OrderDate]])</f>
        <v>2</v>
      </c>
      <c r="M613" s="12">
        <v>1804</v>
      </c>
      <c r="N613" s="21">
        <f>MAX(Data[OrderDate])-_xlfn.MAXIFS(Data[OrderDate],Data[CustomerID],M613)</f>
        <v>672</v>
      </c>
      <c r="O613" s="22">
        <f>COUNTIFS(Data[CustomerID], M613)</f>
        <v>1</v>
      </c>
      <c r="P613" s="23">
        <f>SUMIFS(Data[Amount], Data[CustomerID], M613)</f>
        <v>13.6</v>
      </c>
    </row>
    <row r="614" spans="1:16" x14ac:dyDescent="0.25">
      <c r="A614">
        <v>1972</v>
      </c>
      <c r="B614">
        <v>900</v>
      </c>
      <c r="C614" s="1">
        <v>45338</v>
      </c>
      <c r="D614">
        <v>220.58</v>
      </c>
      <c r="E614" t="s">
        <v>8</v>
      </c>
      <c r="F614" t="s">
        <v>12</v>
      </c>
      <c r="G614">
        <f>COUNTIF(Data[CustomerID], Data[[#This Row],[CustomerID]])</f>
        <v>2</v>
      </c>
      <c r="H614" s="1" t="str">
        <f>TEXT(Data[OrderDate],"yyyy-mmm")</f>
        <v>2024-Feb</v>
      </c>
      <c r="I614">
        <f>IF(
   COUNTIFS(
      Data[CustomerID], Data[[#This Row],[CustomerID]],
      Data[OrderDate], "&lt;" &amp; EOMONTH(Data[[#This Row],[OrderDate]], -1) + 1
   ) &gt; 0,
   1,
   0
)</f>
        <v>1</v>
      </c>
      <c r="J614">
        <f>YEAR(Data[[#This Row],[OrderDate]])</f>
        <v>2024</v>
      </c>
      <c r="K614" s="2">
        <f>MONTH(Data[[#This Row],[OrderDate]])</f>
        <v>2</v>
      </c>
      <c r="M614" s="12">
        <v>1604</v>
      </c>
      <c r="N614" s="21">
        <f>MAX(Data[OrderDate])-_xlfn.MAXIFS(Data[OrderDate],Data[CustomerID],M614)</f>
        <v>3</v>
      </c>
      <c r="O614" s="22">
        <f>COUNTIFS(Data[CustomerID], M614)</f>
        <v>1</v>
      </c>
      <c r="P614" s="23">
        <f>SUMIFS(Data[Amount], Data[CustomerID], M614)</f>
        <v>8.48</v>
      </c>
    </row>
    <row r="615" spans="1:16" x14ac:dyDescent="0.25">
      <c r="A615">
        <v>1606</v>
      </c>
      <c r="B615">
        <v>718</v>
      </c>
      <c r="C615" s="1">
        <v>45340</v>
      </c>
      <c r="D615">
        <v>191.57</v>
      </c>
      <c r="E615" t="s">
        <v>9</v>
      </c>
      <c r="F615" t="s">
        <v>18</v>
      </c>
      <c r="G615">
        <f>COUNTIF(Data[CustomerID], Data[[#This Row],[CustomerID]])</f>
        <v>2</v>
      </c>
      <c r="H615" s="1" t="str">
        <f>TEXT(Data[OrderDate],"yyyy-mmm")</f>
        <v>2024-Feb</v>
      </c>
      <c r="I615">
        <f>IF(
   COUNTIFS(
      Data[CustomerID], Data[[#This Row],[CustomerID]],
      Data[OrderDate], "&lt;" &amp; EOMONTH(Data[[#This Row],[OrderDate]], -1) + 1
   ) &gt; 0,
   1,
   0
)</f>
        <v>1</v>
      </c>
      <c r="J615">
        <f>YEAR(Data[[#This Row],[OrderDate]])</f>
        <v>2024</v>
      </c>
      <c r="K615" s="2">
        <f>MONTH(Data[[#This Row],[OrderDate]])</f>
        <v>2</v>
      </c>
      <c r="M615" s="12">
        <v>1933</v>
      </c>
      <c r="N615" s="21">
        <f>MAX(Data[OrderDate])-_xlfn.MAXIFS(Data[OrderDate],Data[CustomerID],M615)</f>
        <v>508</v>
      </c>
      <c r="O615" s="22">
        <f>COUNTIFS(Data[CustomerID], M615)</f>
        <v>1</v>
      </c>
      <c r="P615" s="23">
        <f>SUMIFS(Data[Amount], Data[CustomerID], M615)</f>
        <v>6.89</v>
      </c>
    </row>
    <row r="616" spans="1:16" x14ac:dyDescent="0.25">
      <c r="A616">
        <v>1894</v>
      </c>
      <c r="B616">
        <v>895</v>
      </c>
      <c r="C616" s="1">
        <v>45340</v>
      </c>
      <c r="D616">
        <v>212.96</v>
      </c>
      <c r="E616" t="s">
        <v>15</v>
      </c>
      <c r="F616" t="s">
        <v>19</v>
      </c>
      <c r="G616">
        <f>COUNTIF(Data[CustomerID], Data[[#This Row],[CustomerID]])</f>
        <v>1</v>
      </c>
      <c r="H616" s="1" t="str">
        <f>TEXT(Data[OrderDate],"yyyy-mmm")</f>
        <v>2024-Feb</v>
      </c>
      <c r="I616">
        <f>IF(
   COUNTIFS(
      Data[CustomerID], Data[[#This Row],[CustomerID]],
      Data[OrderDate], "&lt;" &amp; EOMONTH(Data[[#This Row],[OrderDate]], -1) + 1
   ) &gt; 0,
   1,
   0
)</f>
        <v>0</v>
      </c>
      <c r="J616">
        <f>YEAR(Data[[#This Row],[OrderDate]])</f>
        <v>2024</v>
      </c>
      <c r="K616" s="2">
        <f>MONTH(Data[[#This Row],[OrderDate]])</f>
        <v>2</v>
      </c>
      <c r="M616" s="12">
        <v>1303</v>
      </c>
      <c r="N616" s="21">
        <f>MAX(Data[OrderDate])-_xlfn.MAXIFS(Data[OrderDate],Data[CustomerID],M616)</f>
        <v>566</v>
      </c>
      <c r="O616" s="22">
        <f>COUNTIFS(Data[CustomerID], M616)</f>
        <v>1</v>
      </c>
      <c r="P616" s="23">
        <f>SUMIFS(Data[Amount], Data[CustomerID], M616)</f>
        <v>5.61</v>
      </c>
    </row>
    <row r="617" spans="1:16" x14ac:dyDescent="0.25">
      <c r="A617">
        <v>1498</v>
      </c>
      <c r="B617">
        <v>722</v>
      </c>
      <c r="C617" s="1">
        <v>45342</v>
      </c>
      <c r="D617">
        <v>468.99</v>
      </c>
      <c r="E617" t="s">
        <v>11</v>
      </c>
      <c r="F617" t="s">
        <v>16</v>
      </c>
      <c r="G617">
        <f>COUNTIF(Data[CustomerID], Data[[#This Row],[CustomerID]])</f>
        <v>2</v>
      </c>
      <c r="H617" s="1" t="str">
        <f>TEXT(Data[OrderDate],"yyyy-mmm")</f>
        <v>2024-Feb</v>
      </c>
      <c r="I617">
        <f>IF(
   COUNTIFS(
      Data[CustomerID], Data[[#This Row],[CustomerID]],
      Data[OrderDate], "&lt;" &amp; EOMONTH(Data[[#This Row],[OrderDate]], -1) + 1
   ) &gt; 0,
   1,
   0
)</f>
        <v>1</v>
      </c>
      <c r="J617">
        <f>YEAR(Data[[#This Row],[OrderDate]])</f>
        <v>2024</v>
      </c>
      <c r="K617" s="2">
        <f>MONTH(Data[[#This Row],[OrderDate]])</f>
        <v>2</v>
      </c>
    </row>
    <row r="618" spans="1:16" x14ac:dyDescent="0.25">
      <c r="A618">
        <v>1503</v>
      </c>
      <c r="B618">
        <v>423</v>
      </c>
      <c r="C618" s="1">
        <v>45344</v>
      </c>
      <c r="D618">
        <v>289.70999999999998</v>
      </c>
      <c r="E618" t="s">
        <v>8</v>
      </c>
      <c r="F618" t="s">
        <v>18</v>
      </c>
      <c r="G618">
        <f>COUNTIF(Data[CustomerID], Data[[#This Row],[CustomerID]])</f>
        <v>1</v>
      </c>
      <c r="H618" s="1" t="str">
        <f>TEXT(Data[OrderDate],"yyyy-mmm")</f>
        <v>2024-Feb</v>
      </c>
      <c r="I618">
        <f>IF(
   COUNTIFS(
      Data[CustomerID], Data[[#This Row],[CustomerID]],
      Data[OrderDate], "&lt;" &amp; EOMONTH(Data[[#This Row],[OrderDate]], -1) + 1
   ) &gt; 0,
   1,
   0
)</f>
        <v>0</v>
      </c>
      <c r="J618">
        <f>YEAR(Data[[#This Row],[OrderDate]])</f>
        <v>2024</v>
      </c>
      <c r="K618" s="2">
        <f>MONTH(Data[[#This Row],[OrderDate]])</f>
        <v>2</v>
      </c>
    </row>
    <row r="619" spans="1:16" x14ac:dyDescent="0.25">
      <c r="A619">
        <v>1871</v>
      </c>
      <c r="B619">
        <v>502</v>
      </c>
      <c r="C619" s="1">
        <v>45344</v>
      </c>
      <c r="D619">
        <v>78.87</v>
      </c>
      <c r="E619" t="s">
        <v>6</v>
      </c>
      <c r="F619" t="s">
        <v>10</v>
      </c>
      <c r="G619">
        <f>COUNTIF(Data[CustomerID], Data[[#This Row],[CustomerID]])</f>
        <v>5</v>
      </c>
      <c r="H619" s="1" t="str">
        <f>TEXT(Data[OrderDate],"yyyy-mmm")</f>
        <v>2024-Feb</v>
      </c>
      <c r="I619">
        <f>IF(
   COUNTIFS(
      Data[CustomerID], Data[[#This Row],[CustomerID]],
      Data[OrderDate], "&lt;" &amp; EOMONTH(Data[[#This Row],[OrderDate]], -1) + 1
   ) &gt; 0,
   1,
   0
)</f>
        <v>1</v>
      </c>
      <c r="J619">
        <f>YEAR(Data[[#This Row],[OrderDate]])</f>
        <v>2024</v>
      </c>
      <c r="K619" s="2">
        <f>MONTH(Data[[#This Row],[OrderDate]])</f>
        <v>2</v>
      </c>
    </row>
    <row r="620" spans="1:16" x14ac:dyDescent="0.25">
      <c r="A620">
        <v>1441</v>
      </c>
      <c r="B620">
        <v>271</v>
      </c>
      <c r="C620" s="1">
        <v>45345</v>
      </c>
      <c r="D620">
        <v>360.23</v>
      </c>
      <c r="E620" t="s">
        <v>6</v>
      </c>
      <c r="F620" t="s">
        <v>7</v>
      </c>
      <c r="G620">
        <f>COUNTIF(Data[CustomerID], Data[[#This Row],[CustomerID]])</f>
        <v>2</v>
      </c>
      <c r="H620" s="1" t="str">
        <f>TEXT(Data[OrderDate],"yyyy-mmm")</f>
        <v>2024-Feb</v>
      </c>
      <c r="I620">
        <f>IF(
   COUNTIFS(
      Data[CustomerID], Data[[#This Row],[CustomerID]],
      Data[OrderDate], "&lt;" &amp; EOMONTH(Data[[#This Row],[OrderDate]], -1) + 1
   ) &gt; 0,
   1,
   0
)</f>
        <v>0</v>
      </c>
      <c r="J620">
        <f>YEAR(Data[[#This Row],[OrderDate]])</f>
        <v>2024</v>
      </c>
      <c r="K620" s="2">
        <f>MONTH(Data[[#This Row],[OrderDate]])</f>
        <v>2</v>
      </c>
    </row>
    <row r="621" spans="1:16" x14ac:dyDescent="0.25">
      <c r="A621">
        <v>1444</v>
      </c>
      <c r="B621">
        <v>789</v>
      </c>
      <c r="C621" s="1">
        <v>45345</v>
      </c>
      <c r="D621">
        <v>116.94</v>
      </c>
      <c r="E621" t="s">
        <v>11</v>
      </c>
      <c r="F621" t="s">
        <v>12</v>
      </c>
      <c r="G621">
        <f>COUNTIF(Data[CustomerID], Data[[#This Row],[CustomerID]])</f>
        <v>2</v>
      </c>
      <c r="H621" s="1" t="str">
        <f>TEXT(Data[OrderDate],"yyyy-mmm")</f>
        <v>2024-Feb</v>
      </c>
      <c r="I621">
        <f>IF(
   COUNTIFS(
      Data[CustomerID], Data[[#This Row],[CustomerID]],
      Data[OrderDate], "&lt;" &amp; EOMONTH(Data[[#This Row],[OrderDate]], -1) + 1
   ) &gt; 0,
   1,
   0
)</f>
        <v>1</v>
      </c>
      <c r="J621">
        <f>YEAR(Data[[#This Row],[OrderDate]])</f>
        <v>2024</v>
      </c>
      <c r="K621" s="2">
        <f>MONTH(Data[[#This Row],[OrderDate]])</f>
        <v>2</v>
      </c>
    </row>
    <row r="622" spans="1:16" x14ac:dyDescent="0.25">
      <c r="A622">
        <v>1931</v>
      </c>
      <c r="B622">
        <v>333</v>
      </c>
      <c r="C622" s="1">
        <v>45346</v>
      </c>
      <c r="D622">
        <v>303.58999999999997</v>
      </c>
      <c r="E622" t="s">
        <v>9</v>
      </c>
      <c r="F622" t="s">
        <v>10</v>
      </c>
      <c r="G622">
        <f>COUNTIF(Data[CustomerID], Data[[#This Row],[CustomerID]])</f>
        <v>2</v>
      </c>
      <c r="H622" s="1" t="str">
        <f>TEXT(Data[OrderDate],"yyyy-mmm")</f>
        <v>2024-Feb</v>
      </c>
      <c r="I622">
        <f>IF(
   COUNTIFS(
      Data[CustomerID], Data[[#This Row],[CustomerID]],
      Data[OrderDate], "&lt;" &amp; EOMONTH(Data[[#This Row],[OrderDate]], -1) + 1
   ) &gt; 0,
   1,
   0
)</f>
        <v>0</v>
      </c>
      <c r="J622">
        <f>YEAR(Data[[#This Row],[OrderDate]])</f>
        <v>2024</v>
      </c>
      <c r="K622" s="2">
        <f>MONTH(Data[[#This Row],[OrderDate]])</f>
        <v>2</v>
      </c>
    </row>
    <row r="623" spans="1:16" x14ac:dyDescent="0.25">
      <c r="A623">
        <v>1472</v>
      </c>
      <c r="B623">
        <v>401</v>
      </c>
      <c r="C623" s="1">
        <v>45346</v>
      </c>
      <c r="D623">
        <v>85.07</v>
      </c>
      <c r="E623" t="s">
        <v>8</v>
      </c>
      <c r="F623" t="s">
        <v>14</v>
      </c>
      <c r="G623">
        <f>COUNTIF(Data[CustomerID], Data[[#This Row],[CustomerID]])</f>
        <v>3</v>
      </c>
      <c r="H623" s="1" t="str">
        <f>TEXT(Data[OrderDate],"yyyy-mmm")</f>
        <v>2024-Feb</v>
      </c>
      <c r="I623">
        <f>IF(
   COUNTIFS(
      Data[CustomerID], Data[[#This Row],[CustomerID]],
      Data[OrderDate], "&lt;" &amp; EOMONTH(Data[[#This Row],[OrderDate]], -1) + 1
   ) &gt; 0,
   1,
   0
)</f>
        <v>1</v>
      </c>
      <c r="J623">
        <f>YEAR(Data[[#This Row],[OrderDate]])</f>
        <v>2024</v>
      </c>
      <c r="K623" s="2">
        <f>MONTH(Data[[#This Row],[OrderDate]])</f>
        <v>2</v>
      </c>
    </row>
    <row r="624" spans="1:16" x14ac:dyDescent="0.25">
      <c r="A624">
        <v>1840</v>
      </c>
      <c r="B624">
        <v>63</v>
      </c>
      <c r="C624" s="1">
        <v>45348</v>
      </c>
      <c r="D624">
        <v>167.86</v>
      </c>
      <c r="E624" t="s">
        <v>17</v>
      </c>
      <c r="F624" t="s">
        <v>14</v>
      </c>
      <c r="G624">
        <f>COUNTIF(Data[CustomerID], Data[[#This Row],[CustomerID]])</f>
        <v>1</v>
      </c>
      <c r="H624" s="1" t="str">
        <f>TEXT(Data[OrderDate],"yyyy-mmm")</f>
        <v>2024-Feb</v>
      </c>
      <c r="I624">
        <f>IF(
   COUNTIFS(
      Data[CustomerID], Data[[#This Row],[CustomerID]],
      Data[OrderDate], "&lt;" &amp; EOMONTH(Data[[#This Row],[OrderDate]], -1) + 1
   ) &gt; 0,
   1,
   0
)</f>
        <v>0</v>
      </c>
      <c r="J624">
        <f>YEAR(Data[[#This Row],[OrderDate]])</f>
        <v>2024</v>
      </c>
      <c r="K624" s="2">
        <f>MONTH(Data[[#This Row],[OrderDate]])</f>
        <v>2</v>
      </c>
    </row>
    <row r="625" spans="1:11" x14ac:dyDescent="0.25">
      <c r="A625">
        <v>1122</v>
      </c>
      <c r="B625">
        <v>308</v>
      </c>
      <c r="C625" s="1">
        <v>45348</v>
      </c>
      <c r="D625">
        <v>79.099999999999994</v>
      </c>
      <c r="E625" t="s">
        <v>6</v>
      </c>
      <c r="F625" t="s">
        <v>16</v>
      </c>
      <c r="G625">
        <f>COUNTIF(Data[CustomerID], Data[[#This Row],[CustomerID]])</f>
        <v>1</v>
      </c>
      <c r="H625" s="1" t="str">
        <f>TEXT(Data[OrderDate],"yyyy-mmm")</f>
        <v>2024-Feb</v>
      </c>
      <c r="I625">
        <f>IF(
   COUNTIFS(
      Data[CustomerID], Data[[#This Row],[CustomerID]],
      Data[OrderDate], "&lt;" &amp; EOMONTH(Data[[#This Row],[OrderDate]], -1) + 1
   ) &gt; 0,
   1,
   0
)</f>
        <v>0</v>
      </c>
      <c r="J625">
        <f>YEAR(Data[[#This Row],[OrderDate]])</f>
        <v>2024</v>
      </c>
      <c r="K625" s="2">
        <f>MONTH(Data[[#This Row],[OrderDate]])</f>
        <v>2</v>
      </c>
    </row>
    <row r="626" spans="1:11" x14ac:dyDescent="0.25">
      <c r="A626">
        <v>1832</v>
      </c>
      <c r="B626">
        <v>860</v>
      </c>
      <c r="C626" s="1">
        <v>45348</v>
      </c>
      <c r="D626">
        <v>371.17</v>
      </c>
      <c r="E626" t="s">
        <v>13</v>
      </c>
      <c r="F626" t="s">
        <v>16</v>
      </c>
      <c r="G626">
        <f>COUNTIF(Data[CustomerID], Data[[#This Row],[CustomerID]])</f>
        <v>1</v>
      </c>
      <c r="H626" s="1" t="str">
        <f>TEXT(Data[OrderDate],"yyyy-mmm")</f>
        <v>2024-Feb</v>
      </c>
      <c r="I626">
        <f>IF(
   COUNTIFS(
      Data[CustomerID], Data[[#This Row],[CustomerID]],
      Data[OrderDate], "&lt;" &amp; EOMONTH(Data[[#This Row],[OrderDate]], -1) + 1
   ) &gt; 0,
   1,
   0
)</f>
        <v>0</v>
      </c>
      <c r="J626">
        <f>YEAR(Data[[#This Row],[OrderDate]])</f>
        <v>2024</v>
      </c>
      <c r="K626" s="2">
        <f>MONTH(Data[[#This Row],[OrderDate]])</f>
        <v>2</v>
      </c>
    </row>
    <row r="627" spans="1:11" x14ac:dyDescent="0.25">
      <c r="A627">
        <v>1016</v>
      </c>
      <c r="B627">
        <v>465</v>
      </c>
      <c r="C627" s="1">
        <v>45350</v>
      </c>
      <c r="D627">
        <v>310.94</v>
      </c>
      <c r="E627" t="s">
        <v>6</v>
      </c>
      <c r="F627" t="s">
        <v>19</v>
      </c>
      <c r="G627">
        <f>COUNTIF(Data[CustomerID], Data[[#This Row],[CustomerID]])</f>
        <v>1</v>
      </c>
      <c r="H627" s="1" t="str">
        <f>TEXT(Data[OrderDate],"yyyy-mmm")</f>
        <v>2024-Feb</v>
      </c>
      <c r="I627">
        <f>IF(
   COUNTIFS(
      Data[CustomerID], Data[[#This Row],[CustomerID]],
      Data[OrderDate], "&lt;" &amp; EOMONTH(Data[[#This Row],[OrderDate]], -1) + 1
   ) &gt; 0,
   1,
   0
)</f>
        <v>0</v>
      </c>
      <c r="J627">
        <f>YEAR(Data[[#This Row],[OrderDate]])</f>
        <v>2024</v>
      </c>
      <c r="K627" s="2">
        <f>MONTH(Data[[#This Row],[OrderDate]])</f>
        <v>2</v>
      </c>
    </row>
    <row r="628" spans="1:11" x14ac:dyDescent="0.25">
      <c r="A628">
        <v>1460</v>
      </c>
      <c r="B628">
        <v>193</v>
      </c>
      <c r="C628" s="1">
        <v>45351</v>
      </c>
      <c r="D628">
        <v>385.42</v>
      </c>
      <c r="E628" t="s">
        <v>6</v>
      </c>
      <c r="F628" t="s">
        <v>7</v>
      </c>
      <c r="G628">
        <f>COUNTIF(Data[CustomerID], Data[[#This Row],[CustomerID]])</f>
        <v>2</v>
      </c>
      <c r="H628" s="1" t="str">
        <f>TEXT(Data[OrderDate],"yyyy-mmm")</f>
        <v>2024-Feb</v>
      </c>
      <c r="I628">
        <f>IF(
   COUNTIFS(
      Data[CustomerID], Data[[#This Row],[CustomerID]],
      Data[OrderDate], "&lt;" &amp; EOMONTH(Data[[#This Row],[OrderDate]], -1) + 1
   ) &gt; 0,
   1,
   0
)</f>
        <v>0</v>
      </c>
      <c r="J628">
        <f>YEAR(Data[[#This Row],[OrderDate]])</f>
        <v>2024</v>
      </c>
      <c r="K628" s="2">
        <f>MONTH(Data[[#This Row],[OrderDate]])</f>
        <v>2</v>
      </c>
    </row>
    <row r="629" spans="1:11" x14ac:dyDescent="0.25">
      <c r="A629">
        <v>1841</v>
      </c>
      <c r="B629">
        <v>712</v>
      </c>
      <c r="C629" s="1">
        <v>45352</v>
      </c>
      <c r="D629">
        <v>350.35</v>
      </c>
      <c r="E629" t="s">
        <v>6</v>
      </c>
      <c r="F629" t="s">
        <v>12</v>
      </c>
      <c r="G629">
        <f>COUNTIF(Data[CustomerID], Data[[#This Row],[CustomerID]])</f>
        <v>1</v>
      </c>
      <c r="H629" s="1" t="str">
        <f>TEXT(Data[OrderDate],"yyyy-mmm")</f>
        <v>2024-Mar</v>
      </c>
      <c r="I629">
        <f>IF(
   COUNTIFS(
      Data[CustomerID], Data[[#This Row],[CustomerID]],
      Data[OrderDate], "&lt;" &amp; EOMONTH(Data[[#This Row],[OrderDate]], -1) + 1
   ) &gt; 0,
   1,
   0
)</f>
        <v>0</v>
      </c>
      <c r="J629">
        <f>YEAR(Data[[#This Row],[OrderDate]])</f>
        <v>2024</v>
      </c>
      <c r="K629" s="2">
        <f>MONTH(Data[[#This Row],[OrderDate]])</f>
        <v>3</v>
      </c>
    </row>
    <row r="630" spans="1:11" x14ac:dyDescent="0.25">
      <c r="A630">
        <v>1300</v>
      </c>
      <c r="B630">
        <v>867</v>
      </c>
      <c r="C630" s="1">
        <v>45352</v>
      </c>
      <c r="D630">
        <v>498.55</v>
      </c>
      <c r="E630" t="s">
        <v>8</v>
      </c>
      <c r="F630" t="s">
        <v>19</v>
      </c>
      <c r="G630">
        <f>COUNTIF(Data[CustomerID], Data[[#This Row],[CustomerID]])</f>
        <v>1</v>
      </c>
      <c r="H630" s="1" t="str">
        <f>TEXT(Data[OrderDate],"yyyy-mmm")</f>
        <v>2024-Mar</v>
      </c>
      <c r="I630">
        <f>IF(
   COUNTIFS(
      Data[CustomerID], Data[[#This Row],[CustomerID]],
      Data[OrderDate], "&lt;" &amp; EOMONTH(Data[[#This Row],[OrderDate]], -1) + 1
   ) &gt; 0,
   1,
   0
)</f>
        <v>0</v>
      </c>
      <c r="J630">
        <f>YEAR(Data[[#This Row],[OrderDate]])</f>
        <v>2024</v>
      </c>
      <c r="K630" s="2">
        <f>MONTH(Data[[#This Row],[OrderDate]])</f>
        <v>3</v>
      </c>
    </row>
    <row r="631" spans="1:11" x14ac:dyDescent="0.25">
      <c r="A631">
        <v>1546</v>
      </c>
      <c r="B631">
        <v>461</v>
      </c>
      <c r="C631" s="1">
        <v>45355</v>
      </c>
      <c r="D631">
        <v>392.43</v>
      </c>
      <c r="E631" t="s">
        <v>13</v>
      </c>
      <c r="F631" t="s">
        <v>18</v>
      </c>
      <c r="G631">
        <f>COUNTIF(Data[CustomerID], Data[[#This Row],[CustomerID]])</f>
        <v>3</v>
      </c>
      <c r="H631" s="1" t="str">
        <f>TEXT(Data[OrderDate],"yyyy-mmm")</f>
        <v>2024-Mar</v>
      </c>
      <c r="I631">
        <f>IF(
   COUNTIFS(
      Data[CustomerID], Data[[#This Row],[CustomerID]],
      Data[OrderDate], "&lt;" &amp; EOMONTH(Data[[#This Row],[OrderDate]], -1) + 1
   ) &gt; 0,
   1,
   0
)</f>
        <v>1</v>
      </c>
      <c r="J631">
        <f>YEAR(Data[[#This Row],[OrderDate]])</f>
        <v>2024</v>
      </c>
      <c r="K631" s="2">
        <f>MONTH(Data[[#This Row],[OrderDate]])</f>
        <v>3</v>
      </c>
    </row>
    <row r="632" spans="1:11" x14ac:dyDescent="0.25">
      <c r="A632">
        <v>1492</v>
      </c>
      <c r="B632">
        <v>741</v>
      </c>
      <c r="C632" s="1">
        <v>45355</v>
      </c>
      <c r="D632">
        <v>141.43</v>
      </c>
      <c r="E632" t="s">
        <v>20</v>
      </c>
      <c r="F632" t="s">
        <v>12</v>
      </c>
      <c r="G632">
        <f>COUNTIF(Data[CustomerID], Data[[#This Row],[CustomerID]])</f>
        <v>2</v>
      </c>
      <c r="H632" s="1" t="str">
        <f>TEXT(Data[OrderDate],"yyyy-mmm")</f>
        <v>2024-Mar</v>
      </c>
      <c r="I632">
        <f>IF(
   COUNTIFS(
      Data[CustomerID], Data[[#This Row],[CustomerID]],
      Data[OrderDate], "&lt;" &amp; EOMONTH(Data[[#This Row],[OrderDate]], -1) + 1
   ) &gt; 0,
   1,
   0
)</f>
        <v>1</v>
      </c>
      <c r="J632">
        <f>YEAR(Data[[#This Row],[OrderDate]])</f>
        <v>2024</v>
      </c>
      <c r="K632" s="2">
        <f>MONTH(Data[[#This Row],[OrderDate]])</f>
        <v>3</v>
      </c>
    </row>
    <row r="633" spans="1:11" x14ac:dyDescent="0.25">
      <c r="A633">
        <v>1304</v>
      </c>
      <c r="B633">
        <v>935</v>
      </c>
      <c r="C633" s="1">
        <v>45356</v>
      </c>
      <c r="D633">
        <v>192.85</v>
      </c>
      <c r="E633" t="s">
        <v>8</v>
      </c>
      <c r="F633" t="s">
        <v>14</v>
      </c>
      <c r="G633">
        <f>COUNTIF(Data[CustomerID], Data[[#This Row],[CustomerID]])</f>
        <v>2</v>
      </c>
      <c r="H633" s="1" t="str">
        <f>TEXT(Data[OrderDate],"yyyy-mmm")</f>
        <v>2024-Mar</v>
      </c>
      <c r="I633">
        <f>IF(
   COUNTIFS(
      Data[CustomerID], Data[[#This Row],[CustomerID]],
      Data[OrderDate], "&lt;" &amp; EOMONTH(Data[[#This Row],[OrderDate]], -1) + 1
   ) &gt; 0,
   1,
   0
)</f>
        <v>1</v>
      </c>
      <c r="J633">
        <f>YEAR(Data[[#This Row],[OrderDate]])</f>
        <v>2024</v>
      </c>
      <c r="K633" s="2">
        <f>MONTH(Data[[#This Row],[OrderDate]])</f>
        <v>3</v>
      </c>
    </row>
    <row r="634" spans="1:11" x14ac:dyDescent="0.25">
      <c r="A634">
        <v>1922</v>
      </c>
      <c r="B634">
        <v>973</v>
      </c>
      <c r="C634" s="1">
        <v>45356</v>
      </c>
      <c r="D634">
        <v>439.24</v>
      </c>
      <c r="E634" t="s">
        <v>11</v>
      </c>
      <c r="F634" t="s">
        <v>12</v>
      </c>
      <c r="G634">
        <f>COUNTIF(Data[CustomerID], Data[[#This Row],[CustomerID]])</f>
        <v>1</v>
      </c>
      <c r="H634" s="1" t="str">
        <f>TEXT(Data[OrderDate],"yyyy-mmm")</f>
        <v>2024-Mar</v>
      </c>
      <c r="I634">
        <f>IF(
   COUNTIFS(
      Data[CustomerID], Data[[#This Row],[CustomerID]],
      Data[OrderDate], "&lt;" &amp; EOMONTH(Data[[#This Row],[OrderDate]], -1) + 1
   ) &gt; 0,
   1,
   0
)</f>
        <v>0</v>
      </c>
      <c r="J634">
        <f>YEAR(Data[[#This Row],[OrderDate]])</f>
        <v>2024</v>
      </c>
      <c r="K634" s="2">
        <f>MONTH(Data[[#This Row],[OrderDate]])</f>
        <v>3</v>
      </c>
    </row>
    <row r="635" spans="1:11" x14ac:dyDescent="0.25">
      <c r="A635">
        <v>1877</v>
      </c>
      <c r="B635">
        <v>407</v>
      </c>
      <c r="C635" s="1">
        <v>45357</v>
      </c>
      <c r="D635">
        <v>201.6</v>
      </c>
      <c r="E635" t="s">
        <v>6</v>
      </c>
      <c r="F635" t="s">
        <v>12</v>
      </c>
      <c r="G635">
        <f>COUNTIF(Data[CustomerID], Data[[#This Row],[CustomerID]])</f>
        <v>1</v>
      </c>
      <c r="H635" s="1" t="str">
        <f>TEXT(Data[OrderDate],"yyyy-mmm")</f>
        <v>2024-Mar</v>
      </c>
      <c r="I635">
        <f>IF(
   COUNTIFS(
      Data[CustomerID], Data[[#This Row],[CustomerID]],
      Data[OrderDate], "&lt;" &amp; EOMONTH(Data[[#This Row],[OrderDate]], -1) + 1
   ) &gt; 0,
   1,
   0
)</f>
        <v>0</v>
      </c>
      <c r="J635">
        <f>YEAR(Data[[#This Row],[OrderDate]])</f>
        <v>2024</v>
      </c>
      <c r="K635" s="2">
        <f>MONTH(Data[[#This Row],[OrderDate]])</f>
        <v>3</v>
      </c>
    </row>
    <row r="636" spans="1:11" x14ac:dyDescent="0.25">
      <c r="A636">
        <v>1675</v>
      </c>
      <c r="B636">
        <v>749</v>
      </c>
      <c r="C636" s="1">
        <v>45358</v>
      </c>
      <c r="D636">
        <v>427.28</v>
      </c>
      <c r="E636" t="s">
        <v>11</v>
      </c>
      <c r="F636" t="s">
        <v>16</v>
      </c>
      <c r="G636">
        <f>COUNTIF(Data[CustomerID], Data[[#This Row],[CustomerID]])</f>
        <v>3</v>
      </c>
      <c r="H636" s="1" t="str">
        <f>TEXT(Data[OrderDate],"yyyy-mmm")</f>
        <v>2024-Mar</v>
      </c>
      <c r="I636">
        <f>IF(
   COUNTIFS(
      Data[CustomerID], Data[[#This Row],[CustomerID]],
      Data[OrderDate], "&lt;" &amp; EOMONTH(Data[[#This Row],[OrderDate]], -1) + 1
   ) &gt; 0,
   1,
   0
)</f>
        <v>1</v>
      </c>
      <c r="J636">
        <f>YEAR(Data[[#This Row],[OrderDate]])</f>
        <v>2024</v>
      </c>
      <c r="K636" s="2">
        <f>MONTH(Data[[#This Row],[OrderDate]])</f>
        <v>3</v>
      </c>
    </row>
    <row r="637" spans="1:11" x14ac:dyDescent="0.25">
      <c r="A637">
        <v>1646</v>
      </c>
      <c r="B637">
        <v>61</v>
      </c>
      <c r="C637" s="1">
        <v>45361</v>
      </c>
      <c r="D637">
        <v>242.24</v>
      </c>
      <c r="E637" t="s">
        <v>9</v>
      </c>
      <c r="F637" t="s">
        <v>18</v>
      </c>
      <c r="G637">
        <f>COUNTIF(Data[CustomerID], Data[[#This Row],[CustomerID]])</f>
        <v>1</v>
      </c>
      <c r="H637" s="1" t="str">
        <f>TEXT(Data[OrderDate],"yyyy-mmm")</f>
        <v>2024-Mar</v>
      </c>
      <c r="I637">
        <f>IF(
   COUNTIFS(
      Data[CustomerID], Data[[#This Row],[CustomerID]],
      Data[OrderDate], "&lt;" &amp; EOMONTH(Data[[#This Row],[OrderDate]], -1) + 1
   ) &gt; 0,
   1,
   0
)</f>
        <v>0</v>
      </c>
      <c r="J637">
        <f>YEAR(Data[[#This Row],[OrderDate]])</f>
        <v>2024</v>
      </c>
      <c r="K637" s="2">
        <f>MONTH(Data[[#This Row],[OrderDate]])</f>
        <v>3</v>
      </c>
    </row>
    <row r="638" spans="1:11" x14ac:dyDescent="0.25">
      <c r="A638">
        <v>1600</v>
      </c>
      <c r="B638">
        <v>67</v>
      </c>
      <c r="C638" s="1">
        <v>45361</v>
      </c>
      <c r="D638">
        <v>219.66</v>
      </c>
      <c r="E638" t="s">
        <v>17</v>
      </c>
      <c r="F638" t="s">
        <v>14</v>
      </c>
      <c r="G638">
        <f>COUNTIF(Data[CustomerID], Data[[#This Row],[CustomerID]])</f>
        <v>2</v>
      </c>
      <c r="H638" s="1" t="str">
        <f>TEXT(Data[OrderDate],"yyyy-mmm")</f>
        <v>2024-Mar</v>
      </c>
      <c r="I638">
        <f>IF(
   COUNTIFS(
      Data[CustomerID], Data[[#This Row],[CustomerID]],
      Data[OrderDate], "&lt;" &amp; EOMONTH(Data[[#This Row],[OrderDate]], -1) + 1
   ) &gt; 0,
   1,
   0
)</f>
        <v>0</v>
      </c>
      <c r="J638">
        <f>YEAR(Data[[#This Row],[OrderDate]])</f>
        <v>2024</v>
      </c>
      <c r="K638" s="2">
        <f>MONTH(Data[[#This Row],[OrderDate]])</f>
        <v>3</v>
      </c>
    </row>
    <row r="639" spans="1:11" x14ac:dyDescent="0.25">
      <c r="A639">
        <v>1230</v>
      </c>
      <c r="B639">
        <v>236</v>
      </c>
      <c r="C639" s="1">
        <v>45361</v>
      </c>
      <c r="D639">
        <v>380.88</v>
      </c>
      <c r="E639" t="s">
        <v>8</v>
      </c>
      <c r="F639" t="s">
        <v>16</v>
      </c>
      <c r="G639">
        <f>COUNTIF(Data[CustomerID], Data[[#This Row],[CustomerID]])</f>
        <v>3</v>
      </c>
      <c r="H639" s="1" t="str">
        <f>TEXT(Data[OrderDate],"yyyy-mmm")</f>
        <v>2024-Mar</v>
      </c>
      <c r="I639">
        <f>IF(
   COUNTIFS(
      Data[CustomerID], Data[[#This Row],[CustomerID]],
      Data[OrderDate], "&lt;" &amp; EOMONTH(Data[[#This Row],[OrderDate]], -1) + 1
   ) &gt; 0,
   1,
   0
)</f>
        <v>1</v>
      </c>
      <c r="J639">
        <f>YEAR(Data[[#This Row],[OrderDate]])</f>
        <v>2024</v>
      </c>
      <c r="K639" s="2">
        <f>MONTH(Data[[#This Row],[OrderDate]])</f>
        <v>3</v>
      </c>
    </row>
    <row r="640" spans="1:11" x14ac:dyDescent="0.25">
      <c r="A640">
        <v>1480</v>
      </c>
      <c r="B640">
        <v>455</v>
      </c>
      <c r="C640" s="1">
        <v>45361</v>
      </c>
      <c r="D640">
        <v>378.36</v>
      </c>
      <c r="E640" t="s">
        <v>20</v>
      </c>
      <c r="F640" t="s">
        <v>12</v>
      </c>
      <c r="G640">
        <f>COUNTIF(Data[CustomerID], Data[[#This Row],[CustomerID]])</f>
        <v>1</v>
      </c>
      <c r="H640" s="1" t="str">
        <f>TEXT(Data[OrderDate],"yyyy-mmm")</f>
        <v>2024-Mar</v>
      </c>
      <c r="I640">
        <f>IF(
   COUNTIFS(
      Data[CustomerID], Data[[#This Row],[CustomerID]],
      Data[OrderDate], "&lt;" &amp; EOMONTH(Data[[#This Row],[OrderDate]], -1) + 1
   ) &gt; 0,
   1,
   0
)</f>
        <v>0</v>
      </c>
      <c r="J640">
        <f>YEAR(Data[[#This Row],[OrderDate]])</f>
        <v>2024</v>
      </c>
      <c r="K640" s="2">
        <f>MONTH(Data[[#This Row],[OrderDate]])</f>
        <v>3</v>
      </c>
    </row>
    <row r="641" spans="1:11" x14ac:dyDescent="0.25">
      <c r="A641">
        <v>1655</v>
      </c>
      <c r="B641">
        <v>642</v>
      </c>
      <c r="C641" s="1">
        <v>45361</v>
      </c>
      <c r="D641">
        <v>420.78</v>
      </c>
      <c r="E641" t="s">
        <v>20</v>
      </c>
      <c r="F641" t="s">
        <v>16</v>
      </c>
      <c r="G641">
        <f>COUNTIF(Data[CustomerID], Data[[#This Row],[CustomerID]])</f>
        <v>3</v>
      </c>
      <c r="H641" s="1" t="str">
        <f>TEXT(Data[OrderDate],"yyyy-mmm")</f>
        <v>2024-Mar</v>
      </c>
      <c r="I641">
        <f>IF(
   COUNTIFS(
      Data[CustomerID], Data[[#This Row],[CustomerID]],
      Data[OrderDate], "&lt;" &amp; EOMONTH(Data[[#This Row],[OrderDate]], -1) + 1
   ) &gt; 0,
   1,
   0
)</f>
        <v>1</v>
      </c>
      <c r="J641">
        <f>YEAR(Data[[#This Row],[OrderDate]])</f>
        <v>2024</v>
      </c>
      <c r="K641" s="2">
        <f>MONTH(Data[[#This Row],[OrderDate]])</f>
        <v>3</v>
      </c>
    </row>
    <row r="642" spans="1:11" x14ac:dyDescent="0.25">
      <c r="A642">
        <v>1162</v>
      </c>
      <c r="B642">
        <v>411</v>
      </c>
      <c r="C642" s="1">
        <v>45362</v>
      </c>
      <c r="D642">
        <v>268.58</v>
      </c>
      <c r="E642" t="s">
        <v>15</v>
      </c>
      <c r="F642" t="s">
        <v>7</v>
      </c>
      <c r="G642">
        <f>COUNTIF(Data[CustomerID], Data[[#This Row],[CustomerID]])</f>
        <v>2</v>
      </c>
      <c r="H642" s="1" t="str">
        <f>TEXT(Data[OrderDate],"yyyy-mmm")</f>
        <v>2024-Mar</v>
      </c>
      <c r="I642">
        <f>IF(
   COUNTIFS(
      Data[CustomerID], Data[[#This Row],[CustomerID]],
      Data[OrderDate], "&lt;" &amp; EOMONTH(Data[[#This Row],[OrderDate]], -1) + 1
   ) &gt; 0,
   1,
   0
)</f>
        <v>0</v>
      </c>
      <c r="J642">
        <f>YEAR(Data[[#This Row],[OrderDate]])</f>
        <v>2024</v>
      </c>
      <c r="K642" s="2">
        <f>MONTH(Data[[#This Row],[OrderDate]])</f>
        <v>3</v>
      </c>
    </row>
    <row r="643" spans="1:11" x14ac:dyDescent="0.25">
      <c r="A643">
        <v>1769</v>
      </c>
      <c r="B643">
        <v>23</v>
      </c>
      <c r="C643" s="1">
        <v>45363</v>
      </c>
      <c r="D643">
        <v>470.91</v>
      </c>
      <c r="E643" t="s">
        <v>6</v>
      </c>
      <c r="F643" t="s">
        <v>14</v>
      </c>
      <c r="G643">
        <f>COUNTIF(Data[CustomerID], Data[[#This Row],[CustomerID]])</f>
        <v>1</v>
      </c>
      <c r="H643" s="1" t="str">
        <f>TEXT(Data[OrderDate],"yyyy-mmm")</f>
        <v>2024-Mar</v>
      </c>
      <c r="I643">
        <f>IF(
   COUNTIFS(
      Data[CustomerID], Data[[#This Row],[CustomerID]],
      Data[OrderDate], "&lt;" &amp; EOMONTH(Data[[#This Row],[OrderDate]], -1) + 1
   ) &gt; 0,
   1,
   0
)</f>
        <v>0</v>
      </c>
      <c r="J643">
        <f>YEAR(Data[[#This Row],[OrderDate]])</f>
        <v>2024</v>
      </c>
      <c r="K643" s="2">
        <f>MONTH(Data[[#This Row],[OrderDate]])</f>
        <v>3</v>
      </c>
    </row>
    <row r="644" spans="1:11" x14ac:dyDescent="0.25">
      <c r="A644">
        <v>1484</v>
      </c>
      <c r="B644">
        <v>203</v>
      </c>
      <c r="C644" s="1">
        <v>45363</v>
      </c>
      <c r="D644">
        <v>83.85</v>
      </c>
      <c r="E644" t="s">
        <v>6</v>
      </c>
      <c r="F644" t="s">
        <v>18</v>
      </c>
      <c r="G644">
        <f>COUNTIF(Data[CustomerID], Data[[#This Row],[CustomerID]])</f>
        <v>2</v>
      </c>
      <c r="H644" s="1" t="str">
        <f>TEXT(Data[OrderDate],"yyyy-mmm")</f>
        <v>2024-Mar</v>
      </c>
      <c r="I644">
        <f>IF(
   COUNTIFS(
      Data[CustomerID], Data[[#This Row],[CustomerID]],
      Data[OrderDate], "&lt;" &amp; EOMONTH(Data[[#This Row],[OrderDate]], -1) + 1
   ) &gt; 0,
   1,
   0
)</f>
        <v>0</v>
      </c>
      <c r="J644">
        <f>YEAR(Data[[#This Row],[OrderDate]])</f>
        <v>2024</v>
      </c>
      <c r="K644" s="2">
        <f>MONTH(Data[[#This Row],[OrderDate]])</f>
        <v>3</v>
      </c>
    </row>
    <row r="645" spans="1:11" x14ac:dyDescent="0.25">
      <c r="A645">
        <v>1251</v>
      </c>
      <c r="B645">
        <v>871</v>
      </c>
      <c r="C645" s="1">
        <v>45363</v>
      </c>
      <c r="D645">
        <v>345</v>
      </c>
      <c r="E645" t="s">
        <v>17</v>
      </c>
      <c r="F645" t="s">
        <v>19</v>
      </c>
      <c r="G645">
        <f>COUNTIF(Data[CustomerID], Data[[#This Row],[CustomerID]])</f>
        <v>2</v>
      </c>
      <c r="H645" s="1" t="str">
        <f>TEXT(Data[OrderDate],"yyyy-mmm")</f>
        <v>2024-Mar</v>
      </c>
      <c r="I645">
        <f>IF(
   COUNTIFS(
      Data[CustomerID], Data[[#This Row],[CustomerID]],
      Data[OrderDate], "&lt;" &amp; EOMONTH(Data[[#This Row],[OrderDate]], -1) + 1
   ) &gt; 0,
   1,
   0
)</f>
        <v>0</v>
      </c>
      <c r="J645">
        <f>YEAR(Data[[#This Row],[OrderDate]])</f>
        <v>2024</v>
      </c>
      <c r="K645" s="2">
        <f>MONTH(Data[[#This Row],[OrderDate]])</f>
        <v>3</v>
      </c>
    </row>
    <row r="646" spans="1:11" x14ac:dyDescent="0.25">
      <c r="A646">
        <v>1782</v>
      </c>
      <c r="B646">
        <v>47</v>
      </c>
      <c r="C646" s="1">
        <v>45364</v>
      </c>
      <c r="D646">
        <v>392.79</v>
      </c>
      <c r="E646" t="s">
        <v>6</v>
      </c>
      <c r="F646" t="s">
        <v>10</v>
      </c>
      <c r="G646">
        <f>COUNTIF(Data[CustomerID], Data[[#This Row],[CustomerID]])</f>
        <v>2</v>
      </c>
      <c r="H646" s="1" t="str">
        <f>TEXT(Data[OrderDate],"yyyy-mmm")</f>
        <v>2024-Mar</v>
      </c>
      <c r="I646">
        <f>IF(
   COUNTIFS(
      Data[CustomerID], Data[[#This Row],[CustomerID]],
      Data[OrderDate], "&lt;" &amp; EOMONTH(Data[[#This Row],[OrderDate]], -1) + 1
   ) &gt; 0,
   1,
   0
)</f>
        <v>1</v>
      </c>
      <c r="J646">
        <f>YEAR(Data[[#This Row],[OrderDate]])</f>
        <v>2024</v>
      </c>
      <c r="K646" s="2">
        <f>MONTH(Data[[#This Row],[OrderDate]])</f>
        <v>3</v>
      </c>
    </row>
    <row r="647" spans="1:11" x14ac:dyDescent="0.25">
      <c r="A647">
        <v>1969</v>
      </c>
      <c r="B647">
        <v>731</v>
      </c>
      <c r="C647" s="1">
        <v>45366</v>
      </c>
      <c r="D647">
        <v>116.49</v>
      </c>
      <c r="E647" t="s">
        <v>17</v>
      </c>
      <c r="F647" t="s">
        <v>16</v>
      </c>
      <c r="G647">
        <f>COUNTIF(Data[CustomerID], Data[[#This Row],[CustomerID]])</f>
        <v>1</v>
      </c>
      <c r="H647" s="1" t="str">
        <f>TEXT(Data[OrderDate],"yyyy-mmm")</f>
        <v>2024-Mar</v>
      </c>
      <c r="I647">
        <f>IF(
   COUNTIFS(
      Data[CustomerID], Data[[#This Row],[CustomerID]],
      Data[OrderDate], "&lt;" &amp; EOMONTH(Data[[#This Row],[OrderDate]], -1) + 1
   ) &gt; 0,
   1,
   0
)</f>
        <v>0</v>
      </c>
      <c r="J647">
        <f>YEAR(Data[[#This Row],[OrderDate]])</f>
        <v>2024</v>
      </c>
      <c r="K647" s="2">
        <f>MONTH(Data[[#This Row],[OrderDate]])</f>
        <v>3</v>
      </c>
    </row>
    <row r="648" spans="1:11" x14ac:dyDescent="0.25">
      <c r="A648">
        <v>1098</v>
      </c>
      <c r="B648">
        <v>757</v>
      </c>
      <c r="C648" s="1">
        <v>45366</v>
      </c>
      <c r="D648">
        <v>122.21</v>
      </c>
      <c r="E648" t="s">
        <v>17</v>
      </c>
      <c r="F648" t="s">
        <v>10</v>
      </c>
      <c r="G648">
        <f>COUNTIF(Data[CustomerID], Data[[#This Row],[CustomerID]])</f>
        <v>7</v>
      </c>
      <c r="H648" s="1" t="str">
        <f>TEXT(Data[OrderDate],"yyyy-mmm")</f>
        <v>2024-Mar</v>
      </c>
      <c r="I648">
        <f>IF(
   COUNTIFS(
      Data[CustomerID], Data[[#This Row],[CustomerID]],
      Data[OrderDate], "&lt;" &amp; EOMONTH(Data[[#This Row],[OrderDate]], -1) + 1
   ) &gt; 0,
   1,
   0
)</f>
        <v>1</v>
      </c>
      <c r="J648">
        <f>YEAR(Data[[#This Row],[OrderDate]])</f>
        <v>2024</v>
      </c>
      <c r="K648" s="2">
        <f>MONTH(Data[[#This Row],[OrderDate]])</f>
        <v>3</v>
      </c>
    </row>
    <row r="649" spans="1:11" x14ac:dyDescent="0.25">
      <c r="A649">
        <v>1967</v>
      </c>
      <c r="B649">
        <v>952</v>
      </c>
      <c r="C649" s="1">
        <v>45366</v>
      </c>
      <c r="D649">
        <v>490.99</v>
      </c>
      <c r="E649" t="s">
        <v>8</v>
      </c>
      <c r="F649" t="s">
        <v>18</v>
      </c>
      <c r="G649">
        <f>COUNTIF(Data[CustomerID], Data[[#This Row],[CustomerID]])</f>
        <v>2</v>
      </c>
      <c r="H649" s="1" t="str">
        <f>TEXT(Data[OrderDate],"yyyy-mmm")</f>
        <v>2024-Mar</v>
      </c>
      <c r="I649">
        <f>IF(
   COUNTIFS(
      Data[CustomerID], Data[[#This Row],[CustomerID]],
      Data[OrderDate], "&lt;" &amp; EOMONTH(Data[[#This Row],[OrderDate]], -1) + 1
   ) &gt; 0,
   1,
   0
)</f>
        <v>1</v>
      </c>
      <c r="J649">
        <f>YEAR(Data[[#This Row],[OrderDate]])</f>
        <v>2024</v>
      </c>
      <c r="K649" s="2">
        <f>MONTH(Data[[#This Row],[OrderDate]])</f>
        <v>3</v>
      </c>
    </row>
    <row r="650" spans="1:11" x14ac:dyDescent="0.25">
      <c r="A650">
        <v>1639</v>
      </c>
      <c r="B650">
        <v>232</v>
      </c>
      <c r="C650" s="1">
        <v>45367</v>
      </c>
      <c r="D650">
        <v>12.26</v>
      </c>
      <c r="E650" t="s">
        <v>8</v>
      </c>
      <c r="F650" t="s">
        <v>19</v>
      </c>
      <c r="G650">
        <f>COUNTIF(Data[CustomerID], Data[[#This Row],[CustomerID]])</f>
        <v>3</v>
      </c>
      <c r="H650" s="1" t="str">
        <f>TEXT(Data[OrderDate],"yyyy-mmm")</f>
        <v>2024-Mar</v>
      </c>
      <c r="I650">
        <f>IF(
   COUNTIFS(
      Data[CustomerID], Data[[#This Row],[CustomerID]],
      Data[OrderDate], "&lt;" &amp; EOMONTH(Data[[#This Row],[OrderDate]], -1) + 1
   ) &gt; 0,
   1,
   0
)</f>
        <v>1</v>
      </c>
      <c r="J650">
        <f>YEAR(Data[[#This Row],[OrderDate]])</f>
        <v>2024</v>
      </c>
      <c r="K650" s="2">
        <f>MONTH(Data[[#This Row],[OrderDate]])</f>
        <v>3</v>
      </c>
    </row>
    <row r="651" spans="1:11" x14ac:dyDescent="0.25">
      <c r="A651">
        <v>1962</v>
      </c>
      <c r="B651">
        <v>336</v>
      </c>
      <c r="C651" s="1">
        <v>45367</v>
      </c>
      <c r="D651">
        <v>387.45</v>
      </c>
      <c r="E651" t="s">
        <v>20</v>
      </c>
      <c r="F651" t="s">
        <v>18</v>
      </c>
      <c r="G651">
        <f>COUNTIF(Data[CustomerID], Data[[#This Row],[CustomerID]])</f>
        <v>2</v>
      </c>
      <c r="H651" s="1" t="str">
        <f>TEXT(Data[OrderDate],"yyyy-mmm")</f>
        <v>2024-Mar</v>
      </c>
      <c r="I651">
        <f>IF(
   COUNTIFS(
      Data[CustomerID], Data[[#This Row],[CustomerID]],
      Data[OrderDate], "&lt;" &amp; EOMONTH(Data[[#This Row],[OrderDate]], -1) + 1
   ) &gt; 0,
   1,
   0
)</f>
        <v>1</v>
      </c>
      <c r="J651">
        <f>YEAR(Data[[#This Row],[OrderDate]])</f>
        <v>2024</v>
      </c>
      <c r="K651" s="2">
        <f>MONTH(Data[[#This Row],[OrderDate]])</f>
        <v>3</v>
      </c>
    </row>
    <row r="652" spans="1:11" x14ac:dyDescent="0.25">
      <c r="A652">
        <v>1189</v>
      </c>
      <c r="B652">
        <v>560</v>
      </c>
      <c r="C652" s="1">
        <v>45368</v>
      </c>
      <c r="D652">
        <v>10.16</v>
      </c>
      <c r="E652" t="s">
        <v>20</v>
      </c>
      <c r="F652" t="s">
        <v>19</v>
      </c>
      <c r="G652">
        <f>COUNTIF(Data[CustomerID], Data[[#This Row],[CustomerID]])</f>
        <v>5</v>
      </c>
      <c r="H652" s="1" t="str">
        <f>TEXT(Data[OrderDate],"yyyy-mmm")</f>
        <v>2024-Mar</v>
      </c>
      <c r="I652">
        <f>IF(
   COUNTIFS(
      Data[CustomerID], Data[[#This Row],[CustomerID]],
      Data[OrderDate], "&lt;" &amp; EOMONTH(Data[[#This Row],[OrderDate]], -1) + 1
   ) &gt; 0,
   1,
   0
)</f>
        <v>1</v>
      </c>
      <c r="J652">
        <f>YEAR(Data[[#This Row],[OrderDate]])</f>
        <v>2024</v>
      </c>
      <c r="K652" s="2">
        <f>MONTH(Data[[#This Row],[OrderDate]])</f>
        <v>3</v>
      </c>
    </row>
    <row r="653" spans="1:11" x14ac:dyDescent="0.25">
      <c r="A653">
        <v>1563</v>
      </c>
      <c r="B653">
        <v>199</v>
      </c>
      <c r="C653" s="1">
        <v>45369</v>
      </c>
      <c r="D653">
        <v>414.29</v>
      </c>
      <c r="E653" t="s">
        <v>17</v>
      </c>
      <c r="F653" t="s">
        <v>19</v>
      </c>
      <c r="G653">
        <f>COUNTIF(Data[CustomerID], Data[[#This Row],[CustomerID]])</f>
        <v>3</v>
      </c>
      <c r="H653" s="1" t="str">
        <f>TEXT(Data[OrderDate],"yyyy-mmm")</f>
        <v>2024-Mar</v>
      </c>
      <c r="I653">
        <f>IF(
   COUNTIFS(
      Data[CustomerID], Data[[#This Row],[CustomerID]],
      Data[OrderDate], "&lt;" &amp; EOMONTH(Data[[#This Row],[OrderDate]], -1) + 1
   ) &gt; 0,
   1,
   0
)</f>
        <v>0</v>
      </c>
      <c r="J653">
        <f>YEAR(Data[[#This Row],[OrderDate]])</f>
        <v>2024</v>
      </c>
      <c r="K653" s="2">
        <f>MONTH(Data[[#This Row],[OrderDate]])</f>
        <v>3</v>
      </c>
    </row>
    <row r="654" spans="1:11" x14ac:dyDescent="0.25">
      <c r="A654">
        <v>1160</v>
      </c>
      <c r="B654">
        <v>492</v>
      </c>
      <c r="C654" s="1">
        <v>45369</v>
      </c>
      <c r="D654">
        <v>417.98</v>
      </c>
      <c r="E654" t="s">
        <v>17</v>
      </c>
      <c r="F654" t="s">
        <v>7</v>
      </c>
      <c r="G654">
        <f>COUNTIF(Data[CustomerID], Data[[#This Row],[CustomerID]])</f>
        <v>3</v>
      </c>
      <c r="H654" s="1" t="str">
        <f>TEXT(Data[OrderDate],"yyyy-mmm")</f>
        <v>2024-Mar</v>
      </c>
      <c r="I654">
        <f>IF(
   COUNTIFS(
      Data[CustomerID], Data[[#This Row],[CustomerID]],
      Data[OrderDate], "&lt;" &amp; EOMONTH(Data[[#This Row],[OrderDate]], -1) + 1
   ) &gt; 0,
   1,
   0
)</f>
        <v>1</v>
      </c>
      <c r="J654">
        <f>YEAR(Data[[#This Row],[OrderDate]])</f>
        <v>2024</v>
      </c>
      <c r="K654" s="2">
        <f>MONTH(Data[[#This Row],[OrderDate]])</f>
        <v>3</v>
      </c>
    </row>
    <row r="655" spans="1:11" x14ac:dyDescent="0.25">
      <c r="A655">
        <v>1257</v>
      </c>
      <c r="B655">
        <v>689</v>
      </c>
      <c r="C655" s="1">
        <v>45369</v>
      </c>
      <c r="D655">
        <v>121.75</v>
      </c>
      <c r="E655" t="s">
        <v>11</v>
      </c>
      <c r="F655" t="s">
        <v>12</v>
      </c>
      <c r="G655">
        <f>COUNTIF(Data[CustomerID], Data[[#This Row],[CustomerID]])</f>
        <v>1</v>
      </c>
      <c r="H655" s="1" t="str">
        <f>TEXT(Data[OrderDate],"yyyy-mmm")</f>
        <v>2024-Mar</v>
      </c>
      <c r="I655">
        <f>IF(
   COUNTIFS(
      Data[CustomerID], Data[[#This Row],[CustomerID]],
      Data[OrderDate], "&lt;" &amp; EOMONTH(Data[[#This Row],[OrderDate]], -1) + 1
   ) &gt; 0,
   1,
   0
)</f>
        <v>0</v>
      </c>
      <c r="J655">
        <f>YEAR(Data[[#This Row],[OrderDate]])</f>
        <v>2024</v>
      </c>
      <c r="K655" s="2">
        <f>MONTH(Data[[#This Row],[OrderDate]])</f>
        <v>3</v>
      </c>
    </row>
    <row r="656" spans="1:11" x14ac:dyDescent="0.25">
      <c r="A656">
        <v>1252</v>
      </c>
      <c r="B656">
        <v>36</v>
      </c>
      <c r="C656" s="1">
        <v>45372</v>
      </c>
      <c r="D656">
        <v>336.84</v>
      </c>
      <c r="E656" t="s">
        <v>13</v>
      </c>
      <c r="F656" t="s">
        <v>7</v>
      </c>
      <c r="G656">
        <f>COUNTIF(Data[CustomerID], Data[[#This Row],[CustomerID]])</f>
        <v>5</v>
      </c>
      <c r="H656" s="1" t="str">
        <f>TEXT(Data[OrderDate],"yyyy-mmm")</f>
        <v>2024-Mar</v>
      </c>
      <c r="I656">
        <f>IF(
   COUNTIFS(
      Data[CustomerID], Data[[#This Row],[CustomerID]],
      Data[OrderDate], "&lt;" &amp; EOMONTH(Data[[#This Row],[OrderDate]], -1) + 1
   ) &gt; 0,
   1,
   0
)</f>
        <v>1</v>
      </c>
      <c r="J656">
        <f>YEAR(Data[[#This Row],[OrderDate]])</f>
        <v>2024</v>
      </c>
      <c r="K656" s="2">
        <f>MONTH(Data[[#This Row],[OrderDate]])</f>
        <v>3</v>
      </c>
    </row>
    <row r="657" spans="1:11" x14ac:dyDescent="0.25">
      <c r="A657">
        <v>1524</v>
      </c>
      <c r="B657">
        <v>211</v>
      </c>
      <c r="C657" s="1">
        <v>45372</v>
      </c>
      <c r="D657">
        <v>59.01</v>
      </c>
      <c r="E657" t="s">
        <v>13</v>
      </c>
      <c r="F657" t="s">
        <v>10</v>
      </c>
      <c r="G657">
        <f>COUNTIF(Data[CustomerID], Data[[#This Row],[CustomerID]])</f>
        <v>3</v>
      </c>
      <c r="H657" s="1" t="str">
        <f>TEXT(Data[OrderDate],"yyyy-mmm")</f>
        <v>2024-Mar</v>
      </c>
      <c r="I657">
        <f>IF(
   COUNTIFS(
      Data[CustomerID], Data[[#This Row],[CustomerID]],
      Data[OrderDate], "&lt;" &amp; EOMONTH(Data[[#This Row],[OrderDate]], -1) + 1
   ) &gt; 0,
   1,
   0
)</f>
        <v>1</v>
      </c>
      <c r="J657">
        <f>YEAR(Data[[#This Row],[OrderDate]])</f>
        <v>2024</v>
      </c>
      <c r="K657" s="2">
        <f>MONTH(Data[[#This Row],[OrderDate]])</f>
        <v>3</v>
      </c>
    </row>
    <row r="658" spans="1:11" x14ac:dyDescent="0.25">
      <c r="A658">
        <v>1315</v>
      </c>
      <c r="B658">
        <v>68</v>
      </c>
      <c r="C658" s="1">
        <v>45373</v>
      </c>
      <c r="D658">
        <v>26.61</v>
      </c>
      <c r="E658" t="s">
        <v>13</v>
      </c>
      <c r="F658" t="s">
        <v>7</v>
      </c>
      <c r="G658">
        <f>COUNTIF(Data[CustomerID], Data[[#This Row],[CustomerID]])</f>
        <v>2</v>
      </c>
      <c r="H658" s="1" t="str">
        <f>TEXT(Data[OrderDate],"yyyy-mmm")</f>
        <v>2024-Mar</v>
      </c>
      <c r="I658">
        <f>IF(
   COUNTIFS(
      Data[CustomerID], Data[[#This Row],[CustomerID]],
      Data[OrderDate], "&lt;" &amp; EOMONTH(Data[[#This Row],[OrderDate]], -1) + 1
   ) &gt; 0,
   1,
   0
)</f>
        <v>1</v>
      </c>
      <c r="J658">
        <f>YEAR(Data[[#This Row],[OrderDate]])</f>
        <v>2024</v>
      </c>
      <c r="K658" s="2">
        <f>MONTH(Data[[#This Row],[OrderDate]])</f>
        <v>3</v>
      </c>
    </row>
    <row r="659" spans="1:11" x14ac:dyDescent="0.25">
      <c r="A659">
        <v>1186</v>
      </c>
      <c r="B659">
        <v>325</v>
      </c>
      <c r="C659" s="1">
        <v>45374</v>
      </c>
      <c r="D659">
        <v>300.54000000000002</v>
      </c>
      <c r="E659" t="s">
        <v>11</v>
      </c>
      <c r="F659" t="s">
        <v>14</v>
      </c>
      <c r="G659">
        <f>COUNTIF(Data[CustomerID], Data[[#This Row],[CustomerID]])</f>
        <v>1</v>
      </c>
      <c r="H659" s="1" t="str">
        <f>TEXT(Data[OrderDate],"yyyy-mmm")</f>
        <v>2024-Mar</v>
      </c>
      <c r="I659">
        <f>IF(
   COUNTIFS(
      Data[CustomerID], Data[[#This Row],[CustomerID]],
      Data[OrderDate], "&lt;" &amp; EOMONTH(Data[[#This Row],[OrderDate]], -1) + 1
   ) &gt; 0,
   1,
   0
)</f>
        <v>0</v>
      </c>
      <c r="J659">
        <f>YEAR(Data[[#This Row],[OrderDate]])</f>
        <v>2024</v>
      </c>
      <c r="K659" s="2">
        <f>MONTH(Data[[#This Row],[OrderDate]])</f>
        <v>3</v>
      </c>
    </row>
    <row r="660" spans="1:11" x14ac:dyDescent="0.25">
      <c r="A660">
        <v>1057</v>
      </c>
      <c r="B660">
        <v>890</v>
      </c>
      <c r="C660" s="1">
        <v>45374</v>
      </c>
      <c r="D660">
        <v>265.08999999999997</v>
      </c>
      <c r="E660" t="s">
        <v>8</v>
      </c>
      <c r="F660" t="s">
        <v>14</v>
      </c>
      <c r="G660">
        <f>COUNTIF(Data[CustomerID], Data[[#This Row],[CustomerID]])</f>
        <v>4</v>
      </c>
      <c r="H660" s="1" t="str">
        <f>TEXT(Data[OrderDate],"yyyy-mmm")</f>
        <v>2024-Mar</v>
      </c>
      <c r="I660">
        <f>IF(
   COUNTIFS(
      Data[CustomerID], Data[[#This Row],[CustomerID]],
      Data[OrderDate], "&lt;" &amp; EOMONTH(Data[[#This Row],[OrderDate]], -1) + 1
   ) &gt; 0,
   1,
   0
)</f>
        <v>1</v>
      </c>
      <c r="J660">
        <f>YEAR(Data[[#This Row],[OrderDate]])</f>
        <v>2024</v>
      </c>
      <c r="K660" s="2">
        <f>MONTH(Data[[#This Row],[OrderDate]])</f>
        <v>3</v>
      </c>
    </row>
    <row r="661" spans="1:11" x14ac:dyDescent="0.25">
      <c r="A661">
        <v>1747</v>
      </c>
      <c r="B661">
        <v>37</v>
      </c>
      <c r="C661" s="1">
        <v>45375</v>
      </c>
      <c r="D661">
        <v>476.02</v>
      </c>
      <c r="E661" t="s">
        <v>13</v>
      </c>
      <c r="F661" t="s">
        <v>10</v>
      </c>
      <c r="G661">
        <f>COUNTIF(Data[CustomerID], Data[[#This Row],[CustomerID]])</f>
        <v>1</v>
      </c>
      <c r="H661" s="1" t="str">
        <f>TEXT(Data[OrderDate],"yyyy-mmm")</f>
        <v>2024-Mar</v>
      </c>
      <c r="I661">
        <f>IF(
   COUNTIFS(
      Data[CustomerID], Data[[#This Row],[CustomerID]],
      Data[OrderDate], "&lt;" &amp; EOMONTH(Data[[#This Row],[OrderDate]], -1) + 1
   ) &gt; 0,
   1,
   0
)</f>
        <v>0</v>
      </c>
      <c r="J661">
        <f>YEAR(Data[[#This Row],[OrderDate]])</f>
        <v>2024</v>
      </c>
      <c r="K661" s="2">
        <f>MONTH(Data[[#This Row],[OrderDate]])</f>
        <v>3</v>
      </c>
    </row>
    <row r="662" spans="1:11" x14ac:dyDescent="0.25">
      <c r="A662">
        <v>1931</v>
      </c>
      <c r="B662">
        <v>87</v>
      </c>
      <c r="C662" s="1">
        <v>45376</v>
      </c>
      <c r="D662">
        <v>385.02</v>
      </c>
      <c r="E662" t="s">
        <v>17</v>
      </c>
      <c r="F662" t="s">
        <v>14</v>
      </c>
      <c r="G662">
        <f>COUNTIF(Data[CustomerID], Data[[#This Row],[CustomerID]])</f>
        <v>2</v>
      </c>
      <c r="H662" s="1" t="str">
        <f>TEXT(Data[OrderDate],"yyyy-mmm")</f>
        <v>2024-Mar</v>
      </c>
      <c r="I662">
        <f>IF(
   COUNTIFS(
      Data[CustomerID], Data[[#This Row],[CustomerID]],
      Data[OrderDate], "&lt;" &amp; EOMONTH(Data[[#This Row],[OrderDate]], -1) + 1
   ) &gt; 0,
   1,
   0
)</f>
        <v>1</v>
      </c>
      <c r="J662">
        <f>YEAR(Data[[#This Row],[OrderDate]])</f>
        <v>2024</v>
      </c>
      <c r="K662" s="2">
        <f>MONTH(Data[[#This Row],[OrderDate]])</f>
        <v>3</v>
      </c>
    </row>
    <row r="663" spans="1:11" x14ac:dyDescent="0.25">
      <c r="A663">
        <v>1600</v>
      </c>
      <c r="B663">
        <v>625</v>
      </c>
      <c r="C663" s="1">
        <v>45376</v>
      </c>
      <c r="D663">
        <v>281.23</v>
      </c>
      <c r="E663" t="s">
        <v>20</v>
      </c>
      <c r="F663" t="s">
        <v>19</v>
      </c>
      <c r="G663">
        <f>COUNTIF(Data[CustomerID], Data[[#This Row],[CustomerID]])</f>
        <v>2</v>
      </c>
      <c r="H663" s="1" t="str">
        <f>TEXT(Data[OrderDate],"yyyy-mmm")</f>
        <v>2024-Mar</v>
      </c>
      <c r="I663">
        <f>IF(
   COUNTIFS(
      Data[CustomerID], Data[[#This Row],[CustomerID]],
      Data[OrderDate], "&lt;" &amp; EOMONTH(Data[[#This Row],[OrderDate]], -1) + 1
   ) &gt; 0,
   1,
   0
)</f>
        <v>0</v>
      </c>
      <c r="J663">
        <f>YEAR(Data[[#This Row],[OrderDate]])</f>
        <v>2024</v>
      </c>
      <c r="K663" s="2">
        <f>MONTH(Data[[#This Row],[OrderDate]])</f>
        <v>3</v>
      </c>
    </row>
    <row r="664" spans="1:11" x14ac:dyDescent="0.25">
      <c r="A664">
        <v>1555</v>
      </c>
      <c r="B664">
        <v>714</v>
      </c>
      <c r="C664" s="1">
        <v>45376</v>
      </c>
      <c r="D664">
        <v>392.38</v>
      </c>
      <c r="E664" t="s">
        <v>6</v>
      </c>
      <c r="F664" t="s">
        <v>7</v>
      </c>
      <c r="G664">
        <f>COUNTIF(Data[CustomerID], Data[[#This Row],[CustomerID]])</f>
        <v>4</v>
      </c>
      <c r="H664" s="1" t="str">
        <f>TEXT(Data[OrderDate],"yyyy-mmm")</f>
        <v>2024-Mar</v>
      </c>
      <c r="I664">
        <f>IF(
   COUNTIFS(
      Data[CustomerID], Data[[#This Row],[CustomerID]],
      Data[OrderDate], "&lt;" &amp; EOMONTH(Data[[#This Row],[OrderDate]], -1) + 1
   ) &gt; 0,
   1,
   0
)</f>
        <v>1</v>
      </c>
      <c r="J664">
        <f>YEAR(Data[[#This Row],[OrderDate]])</f>
        <v>2024</v>
      </c>
      <c r="K664" s="2">
        <f>MONTH(Data[[#This Row],[OrderDate]])</f>
        <v>3</v>
      </c>
    </row>
    <row r="665" spans="1:11" x14ac:dyDescent="0.25">
      <c r="A665">
        <v>1662</v>
      </c>
      <c r="B665">
        <v>509</v>
      </c>
      <c r="C665" s="1">
        <v>45378</v>
      </c>
      <c r="D665">
        <v>430.48</v>
      </c>
      <c r="E665" t="s">
        <v>20</v>
      </c>
      <c r="F665" t="s">
        <v>10</v>
      </c>
      <c r="G665">
        <f>COUNTIF(Data[CustomerID], Data[[#This Row],[CustomerID]])</f>
        <v>2</v>
      </c>
      <c r="H665" s="1" t="str">
        <f>TEXT(Data[OrderDate],"yyyy-mmm")</f>
        <v>2024-Mar</v>
      </c>
      <c r="I665">
        <f>IF(
   COUNTIFS(
      Data[CustomerID], Data[[#This Row],[CustomerID]],
      Data[OrderDate], "&lt;" &amp; EOMONTH(Data[[#This Row],[OrderDate]], -1) + 1
   ) &gt; 0,
   1,
   0
)</f>
        <v>1</v>
      </c>
      <c r="J665">
        <f>YEAR(Data[[#This Row],[OrderDate]])</f>
        <v>2024</v>
      </c>
      <c r="K665" s="2">
        <f>MONTH(Data[[#This Row],[OrderDate]])</f>
        <v>3</v>
      </c>
    </row>
    <row r="666" spans="1:11" x14ac:dyDescent="0.25">
      <c r="A666">
        <v>1007</v>
      </c>
      <c r="B666">
        <v>958</v>
      </c>
      <c r="C666" s="1">
        <v>45379</v>
      </c>
      <c r="D666">
        <v>227.67</v>
      </c>
      <c r="E666" t="s">
        <v>17</v>
      </c>
      <c r="F666" t="s">
        <v>12</v>
      </c>
      <c r="G666">
        <f>COUNTIF(Data[CustomerID], Data[[#This Row],[CustomerID]])</f>
        <v>1</v>
      </c>
      <c r="H666" s="1" t="str">
        <f>TEXT(Data[OrderDate],"yyyy-mmm")</f>
        <v>2024-Mar</v>
      </c>
      <c r="I666">
        <f>IF(
   COUNTIFS(
      Data[CustomerID], Data[[#This Row],[CustomerID]],
      Data[OrderDate], "&lt;" &amp; EOMONTH(Data[[#This Row],[OrderDate]], -1) + 1
   ) &gt; 0,
   1,
   0
)</f>
        <v>0</v>
      </c>
      <c r="J666">
        <f>YEAR(Data[[#This Row],[OrderDate]])</f>
        <v>2024</v>
      </c>
      <c r="K666" s="2">
        <f>MONTH(Data[[#This Row],[OrderDate]])</f>
        <v>3</v>
      </c>
    </row>
    <row r="667" spans="1:11" x14ac:dyDescent="0.25">
      <c r="A667">
        <v>1222</v>
      </c>
      <c r="B667">
        <v>824</v>
      </c>
      <c r="C667" s="1">
        <v>45380</v>
      </c>
      <c r="D667">
        <v>198.41</v>
      </c>
      <c r="E667" t="s">
        <v>13</v>
      </c>
      <c r="F667" t="s">
        <v>16</v>
      </c>
      <c r="G667">
        <f>COUNTIF(Data[CustomerID], Data[[#This Row],[CustomerID]])</f>
        <v>2</v>
      </c>
      <c r="H667" s="1" t="str">
        <f>TEXT(Data[OrderDate],"yyyy-mmm")</f>
        <v>2024-Mar</v>
      </c>
      <c r="I667">
        <f>IF(
   COUNTIFS(
      Data[CustomerID], Data[[#This Row],[CustomerID]],
      Data[OrderDate], "&lt;" &amp; EOMONTH(Data[[#This Row],[OrderDate]], -1) + 1
   ) &gt; 0,
   1,
   0
)</f>
        <v>1</v>
      </c>
      <c r="J667">
        <f>YEAR(Data[[#This Row],[OrderDate]])</f>
        <v>2024</v>
      </c>
      <c r="K667" s="2">
        <f>MONTH(Data[[#This Row],[OrderDate]])</f>
        <v>3</v>
      </c>
    </row>
    <row r="668" spans="1:11" x14ac:dyDescent="0.25">
      <c r="A668">
        <v>1883</v>
      </c>
      <c r="B668">
        <v>585</v>
      </c>
      <c r="C668" s="1">
        <v>45381</v>
      </c>
      <c r="D668">
        <v>464.52</v>
      </c>
      <c r="E668" t="s">
        <v>15</v>
      </c>
      <c r="F668" t="s">
        <v>7</v>
      </c>
      <c r="G668">
        <f>COUNTIF(Data[CustomerID], Data[[#This Row],[CustomerID]])</f>
        <v>2</v>
      </c>
      <c r="H668" s="1" t="str">
        <f>TEXT(Data[OrderDate],"yyyy-mmm")</f>
        <v>2024-Mar</v>
      </c>
      <c r="I668">
        <f>IF(
   COUNTIFS(
      Data[CustomerID], Data[[#This Row],[CustomerID]],
      Data[OrderDate], "&lt;" &amp; EOMONTH(Data[[#This Row],[OrderDate]], -1) + 1
   ) &gt; 0,
   1,
   0
)</f>
        <v>1</v>
      </c>
      <c r="J668">
        <f>YEAR(Data[[#This Row],[OrderDate]])</f>
        <v>2024</v>
      </c>
      <c r="K668" s="2">
        <f>MONTH(Data[[#This Row],[OrderDate]])</f>
        <v>3</v>
      </c>
    </row>
    <row r="669" spans="1:11" x14ac:dyDescent="0.25">
      <c r="A669">
        <v>1360</v>
      </c>
      <c r="B669">
        <v>896</v>
      </c>
      <c r="C669" s="1">
        <v>45381</v>
      </c>
      <c r="D669">
        <v>453.15</v>
      </c>
      <c r="E669" t="s">
        <v>11</v>
      </c>
      <c r="F669" t="s">
        <v>12</v>
      </c>
      <c r="G669">
        <f>COUNTIF(Data[CustomerID], Data[[#This Row],[CustomerID]])</f>
        <v>1</v>
      </c>
      <c r="H669" s="1" t="str">
        <f>TEXT(Data[OrderDate],"yyyy-mmm")</f>
        <v>2024-Mar</v>
      </c>
      <c r="I669">
        <f>IF(
   COUNTIFS(
      Data[CustomerID], Data[[#This Row],[CustomerID]],
      Data[OrderDate], "&lt;" &amp; EOMONTH(Data[[#This Row],[OrderDate]], -1) + 1
   ) &gt; 0,
   1,
   0
)</f>
        <v>0</v>
      </c>
      <c r="J669">
        <f>YEAR(Data[[#This Row],[OrderDate]])</f>
        <v>2024</v>
      </c>
      <c r="K669" s="2">
        <f>MONTH(Data[[#This Row],[OrderDate]])</f>
        <v>3</v>
      </c>
    </row>
    <row r="670" spans="1:11" x14ac:dyDescent="0.25">
      <c r="A670">
        <v>1708</v>
      </c>
      <c r="B670">
        <v>992</v>
      </c>
      <c r="C670" s="1">
        <v>45381</v>
      </c>
      <c r="D670">
        <v>434.93</v>
      </c>
      <c r="E670" t="s">
        <v>20</v>
      </c>
      <c r="F670" t="s">
        <v>19</v>
      </c>
      <c r="G670">
        <f>COUNTIF(Data[CustomerID], Data[[#This Row],[CustomerID]])</f>
        <v>1</v>
      </c>
      <c r="H670" s="1" t="str">
        <f>TEXT(Data[OrderDate],"yyyy-mmm")</f>
        <v>2024-Mar</v>
      </c>
      <c r="I670">
        <f>IF(
   COUNTIFS(
      Data[CustomerID], Data[[#This Row],[CustomerID]],
      Data[OrderDate], "&lt;" &amp; EOMONTH(Data[[#This Row],[OrderDate]], -1) + 1
   ) &gt; 0,
   1,
   0
)</f>
        <v>0</v>
      </c>
      <c r="J670">
        <f>YEAR(Data[[#This Row],[OrderDate]])</f>
        <v>2024</v>
      </c>
      <c r="K670" s="2">
        <f>MONTH(Data[[#This Row],[OrderDate]])</f>
        <v>3</v>
      </c>
    </row>
    <row r="671" spans="1:11" x14ac:dyDescent="0.25">
      <c r="A671">
        <v>1160</v>
      </c>
      <c r="B671">
        <v>32</v>
      </c>
      <c r="C671" s="1">
        <v>45383</v>
      </c>
      <c r="D671">
        <v>104.43</v>
      </c>
      <c r="E671" t="s">
        <v>17</v>
      </c>
      <c r="F671" t="s">
        <v>19</v>
      </c>
      <c r="G671">
        <f>COUNTIF(Data[CustomerID], Data[[#This Row],[CustomerID]])</f>
        <v>3</v>
      </c>
      <c r="H671" s="1" t="str">
        <f>TEXT(Data[OrderDate],"yyyy-mmm")</f>
        <v>2024-Apr</v>
      </c>
      <c r="I671">
        <f>IF(
   COUNTIFS(
      Data[CustomerID], Data[[#This Row],[CustomerID]],
      Data[OrderDate], "&lt;" &amp; EOMONTH(Data[[#This Row],[OrderDate]], -1) + 1
   ) &gt; 0,
   1,
   0
)</f>
        <v>1</v>
      </c>
      <c r="J671">
        <f>YEAR(Data[[#This Row],[OrderDate]])</f>
        <v>2024</v>
      </c>
      <c r="K671" s="2">
        <f>MONTH(Data[[#This Row],[OrderDate]])</f>
        <v>4</v>
      </c>
    </row>
    <row r="672" spans="1:11" x14ac:dyDescent="0.25">
      <c r="A672">
        <v>1805</v>
      </c>
      <c r="B672">
        <v>27</v>
      </c>
      <c r="C672" s="1">
        <v>45384</v>
      </c>
      <c r="D672">
        <v>45.84</v>
      </c>
      <c r="E672" t="s">
        <v>15</v>
      </c>
      <c r="F672" t="s">
        <v>18</v>
      </c>
      <c r="G672">
        <f>COUNTIF(Data[CustomerID], Data[[#This Row],[CustomerID]])</f>
        <v>1</v>
      </c>
      <c r="H672" s="1" t="str">
        <f>TEXT(Data[OrderDate],"yyyy-mmm")</f>
        <v>2024-Apr</v>
      </c>
      <c r="I672">
        <f>IF(
   COUNTIFS(
      Data[CustomerID], Data[[#This Row],[CustomerID]],
      Data[OrderDate], "&lt;" &amp; EOMONTH(Data[[#This Row],[OrderDate]], -1) + 1
   ) &gt; 0,
   1,
   0
)</f>
        <v>0</v>
      </c>
      <c r="J672">
        <f>YEAR(Data[[#This Row],[OrderDate]])</f>
        <v>2024</v>
      </c>
      <c r="K672" s="2">
        <f>MONTH(Data[[#This Row],[OrderDate]])</f>
        <v>4</v>
      </c>
    </row>
    <row r="673" spans="1:11" x14ac:dyDescent="0.25">
      <c r="A673">
        <v>1180</v>
      </c>
      <c r="B673">
        <v>481</v>
      </c>
      <c r="C673" s="1">
        <v>45384</v>
      </c>
      <c r="D673">
        <v>196.6</v>
      </c>
      <c r="E673" t="s">
        <v>20</v>
      </c>
      <c r="F673" t="s">
        <v>10</v>
      </c>
      <c r="G673">
        <f>COUNTIF(Data[CustomerID], Data[[#This Row],[CustomerID]])</f>
        <v>1</v>
      </c>
      <c r="H673" s="1" t="str">
        <f>TEXT(Data[OrderDate],"yyyy-mmm")</f>
        <v>2024-Apr</v>
      </c>
      <c r="I673">
        <f>IF(
   COUNTIFS(
      Data[CustomerID], Data[[#This Row],[CustomerID]],
      Data[OrderDate], "&lt;" &amp; EOMONTH(Data[[#This Row],[OrderDate]], -1) + 1
   ) &gt; 0,
   1,
   0
)</f>
        <v>0</v>
      </c>
      <c r="J673">
        <f>YEAR(Data[[#This Row],[OrderDate]])</f>
        <v>2024</v>
      </c>
      <c r="K673" s="2">
        <f>MONTH(Data[[#This Row],[OrderDate]])</f>
        <v>4</v>
      </c>
    </row>
    <row r="674" spans="1:11" x14ac:dyDescent="0.25">
      <c r="A674">
        <v>1612</v>
      </c>
      <c r="B674">
        <v>279</v>
      </c>
      <c r="C674" s="1">
        <v>45385</v>
      </c>
      <c r="D674">
        <v>96.37</v>
      </c>
      <c r="E674" t="s">
        <v>20</v>
      </c>
      <c r="F674" t="s">
        <v>19</v>
      </c>
      <c r="G674">
        <f>COUNTIF(Data[CustomerID], Data[[#This Row],[CustomerID]])</f>
        <v>4</v>
      </c>
      <c r="H674" s="1" t="str">
        <f>TEXT(Data[OrderDate],"yyyy-mmm")</f>
        <v>2024-Apr</v>
      </c>
      <c r="I674">
        <f>IF(
   COUNTIFS(
      Data[CustomerID], Data[[#This Row],[CustomerID]],
      Data[OrderDate], "&lt;" &amp; EOMONTH(Data[[#This Row],[OrderDate]], -1) + 1
   ) &gt; 0,
   1,
   0
)</f>
        <v>1</v>
      </c>
      <c r="J674">
        <f>YEAR(Data[[#This Row],[OrderDate]])</f>
        <v>2024</v>
      </c>
      <c r="K674" s="2">
        <f>MONTH(Data[[#This Row],[OrderDate]])</f>
        <v>4</v>
      </c>
    </row>
    <row r="675" spans="1:11" x14ac:dyDescent="0.25">
      <c r="A675">
        <v>1440</v>
      </c>
      <c r="B675">
        <v>931</v>
      </c>
      <c r="C675" s="1">
        <v>45385</v>
      </c>
      <c r="D675">
        <v>437.74</v>
      </c>
      <c r="E675" t="s">
        <v>11</v>
      </c>
      <c r="F675" t="s">
        <v>10</v>
      </c>
      <c r="G675">
        <f>COUNTIF(Data[CustomerID], Data[[#This Row],[CustomerID]])</f>
        <v>1</v>
      </c>
      <c r="H675" s="1" t="str">
        <f>TEXT(Data[OrderDate],"yyyy-mmm")</f>
        <v>2024-Apr</v>
      </c>
      <c r="I675">
        <f>IF(
   COUNTIFS(
      Data[CustomerID], Data[[#This Row],[CustomerID]],
      Data[OrderDate], "&lt;" &amp; EOMONTH(Data[[#This Row],[OrderDate]], -1) + 1
   ) &gt; 0,
   1,
   0
)</f>
        <v>0</v>
      </c>
      <c r="J675">
        <f>YEAR(Data[[#This Row],[OrderDate]])</f>
        <v>2024</v>
      </c>
      <c r="K675" s="2">
        <f>MONTH(Data[[#This Row],[OrderDate]])</f>
        <v>4</v>
      </c>
    </row>
    <row r="676" spans="1:11" x14ac:dyDescent="0.25">
      <c r="A676">
        <v>1329</v>
      </c>
      <c r="B676">
        <v>949</v>
      </c>
      <c r="C676" s="1">
        <v>45385</v>
      </c>
      <c r="D676">
        <v>413.89</v>
      </c>
      <c r="E676" t="s">
        <v>15</v>
      </c>
      <c r="F676" t="s">
        <v>19</v>
      </c>
      <c r="G676">
        <f>COUNTIF(Data[CustomerID], Data[[#This Row],[CustomerID]])</f>
        <v>1</v>
      </c>
      <c r="H676" s="1" t="str">
        <f>TEXT(Data[OrderDate],"yyyy-mmm")</f>
        <v>2024-Apr</v>
      </c>
      <c r="I676">
        <f>IF(
   COUNTIFS(
      Data[CustomerID], Data[[#This Row],[CustomerID]],
      Data[OrderDate], "&lt;" &amp; EOMONTH(Data[[#This Row],[OrderDate]], -1) + 1
   ) &gt; 0,
   1,
   0
)</f>
        <v>0</v>
      </c>
      <c r="J676">
        <f>YEAR(Data[[#This Row],[OrderDate]])</f>
        <v>2024</v>
      </c>
      <c r="K676" s="2">
        <f>MONTH(Data[[#This Row],[OrderDate]])</f>
        <v>4</v>
      </c>
    </row>
    <row r="677" spans="1:11" x14ac:dyDescent="0.25">
      <c r="A677">
        <v>1403</v>
      </c>
      <c r="B677">
        <v>383</v>
      </c>
      <c r="C677" s="1">
        <v>45386</v>
      </c>
      <c r="D677">
        <v>132.24</v>
      </c>
      <c r="E677" t="s">
        <v>9</v>
      </c>
      <c r="F677" t="s">
        <v>10</v>
      </c>
      <c r="G677">
        <f>COUNTIF(Data[CustomerID], Data[[#This Row],[CustomerID]])</f>
        <v>1</v>
      </c>
      <c r="H677" s="1" t="str">
        <f>TEXT(Data[OrderDate],"yyyy-mmm")</f>
        <v>2024-Apr</v>
      </c>
      <c r="I677">
        <f>IF(
   COUNTIFS(
      Data[CustomerID], Data[[#This Row],[CustomerID]],
      Data[OrderDate], "&lt;" &amp; EOMONTH(Data[[#This Row],[OrderDate]], -1) + 1
   ) &gt; 0,
   1,
   0
)</f>
        <v>0</v>
      </c>
      <c r="J677">
        <f>YEAR(Data[[#This Row],[OrderDate]])</f>
        <v>2024</v>
      </c>
      <c r="K677" s="2">
        <f>MONTH(Data[[#This Row],[OrderDate]])</f>
        <v>4</v>
      </c>
    </row>
    <row r="678" spans="1:11" x14ac:dyDescent="0.25">
      <c r="A678">
        <v>1763</v>
      </c>
      <c r="B678">
        <v>925</v>
      </c>
      <c r="C678" s="1">
        <v>45386</v>
      </c>
      <c r="D678">
        <v>452.29</v>
      </c>
      <c r="E678" t="s">
        <v>11</v>
      </c>
      <c r="F678" t="s">
        <v>18</v>
      </c>
      <c r="G678">
        <f>COUNTIF(Data[CustomerID], Data[[#This Row],[CustomerID]])</f>
        <v>4</v>
      </c>
      <c r="H678" s="1" t="str">
        <f>TEXT(Data[OrderDate],"yyyy-mmm")</f>
        <v>2024-Apr</v>
      </c>
      <c r="I678">
        <f>IF(
   COUNTIFS(
      Data[CustomerID], Data[[#This Row],[CustomerID]],
      Data[OrderDate], "&lt;" &amp; EOMONTH(Data[[#This Row],[OrderDate]], -1) + 1
   ) &gt; 0,
   1,
   0
)</f>
        <v>1</v>
      </c>
      <c r="J678">
        <f>YEAR(Data[[#This Row],[OrderDate]])</f>
        <v>2024</v>
      </c>
      <c r="K678" s="2">
        <f>MONTH(Data[[#This Row],[OrderDate]])</f>
        <v>4</v>
      </c>
    </row>
    <row r="679" spans="1:11" x14ac:dyDescent="0.25">
      <c r="A679">
        <v>1330</v>
      </c>
      <c r="B679">
        <v>13</v>
      </c>
      <c r="C679" s="1">
        <v>45387</v>
      </c>
      <c r="D679">
        <v>363.52</v>
      </c>
      <c r="E679" t="s">
        <v>6</v>
      </c>
      <c r="F679" t="s">
        <v>16</v>
      </c>
      <c r="G679">
        <f>COUNTIF(Data[CustomerID], Data[[#This Row],[CustomerID]])</f>
        <v>2</v>
      </c>
      <c r="H679" s="1" t="str">
        <f>TEXT(Data[OrderDate],"yyyy-mmm")</f>
        <v>2024-Apr</v>
      </c>
      <c r="I679">
        <f>IF(
   COUNTIFS(
      Data[CustomerID], Data[[#This Row],[CustomerID]],
      Data[OrderDate], "&lt;" &amp; EOMONTH(Data[[#This Row],[OrderDate]], -1) + 1
   ) &gt; 0,
   1,
   0
)</f>
        <v>0</v>
      </c>
      <c r="J679">
        <f>YEAR(Data[[#This Row],[OrderDate]])</f>
        <v>2024</v>
      </c>
      <c r="K679" s="2">
        <f>MONTH(Data[[#This Row],[OrderDate]])</f>
        <v>4</v>
      </c>
    </row>
    <row r="680" spans="1:11" x14ac:dyDescent="0.25">
      <c r="A680">
        <v>1419</v>
      </c>
      <c r="B680">
        <v>393</v>
      </c>
      <c r="C680" s="1">
        <v>45388</v>
      </c>
      <c r="D680">
        <v>193.55</v>
      </c>
      <c r="E680" t="s">
        <v>8</v>
      </c>
      <c r="F680" t="s">
        <v>10</v>
      </c>
      <c r="G680">
        <f>COUNTIF(Data[CustomerID], Data[[#This Row],[CustomerID]])</f>
        <v>2</v>
      </c>
      <c r="H680" s="1" t="str">
        <f>TEXT(Data[OrderDate],"yyyy-mmm")</f>
        <v>2024-Apr</v>
      </c>
      <c r="I680">
        <f>IF(
   COUNTIFS(
      Data[CustomerID], Data[[#This Row],[CustomerID]],
      Data[OrderDate], "&lt;" &amp; EOMONTH(Data[[#This Row],[OrderDate]], -1) + 1
   ) &gt; 0,
   1,
   0
)</f>
        <v>1</v>
      </c>
      <c r="J680">
        <f>YEAR(Data[[#This Row],[OrderDate]])</f>
        <v>2024</v>
      </c>
      <c r="K680" s="2">
        <f>MONTH(Data[[#This Row],[OrderDate]])</f>
        <v>4</v>
      </c>
    </row>
    <row r="681" spans="1:11" x14ac:dyDescent="0.25">
      <c r="A681">
        <v>1483</v>
      </c>
      <c r="B681">
        <v>812</v>
      </c>
      <c r="C681" s="1">
        <v>45389</v>
      </c>
      <c r="D681">
        <v>67.5</v>
      </c>
      <c r="E681" t="s">
        <v>20</v>
      </c>
      <c r="F681" t="s">
        <v>16</v>
      </c>
      <c r="G681">
        <f>COUNTIF(Data[CustomerID], Data[[#This Row],[CustomerID]])</f>
        <v>1</v>
      </c>
      <c r="H681" s="1" t="str">
        <f>TEXT(Data[OrderDate],"yyyy-mmm")</f>
        <v>2024-Apr</v>
      </c>
      <c r="I681">
        <f>IF(
   COUNTIFS(
      Data[CustomerID], Data[[#This Row],[CustomerID]],
      Data[OrderDate], "&lt;" &amp; EOMONTH(Data[[#This Row],[OrderDate]], -1) + 1
   ) &gt; 0,
   1,
   0
)</f>
        <v>0</v>
      </c>
      <c r="J681">
        <f>YEAR(Data[[#This Row],[OrderDate]])</f>
        <v>2024</v>
      </c>
      <c r="K681" s="2">
        <f>MONTH(Data[[#This Row],[OrderDate]])</f>
        <v>4</v>
      </c>
    </row>
    <row r="682" spans="1:11" x14ac:dyDescent="0.25">
      <c r="A682">
        <v>1455</v>
      </c>
      <c r="B682">
        <v>110</v>
      </c>
      <c r="C682" s="1">
        <v>45392</v>
      </c>
      <c r="D682">
        <v>258.74</v>
      </c>
      <c r="E682" t="s">
        <v>13</v>
      </c>
      <c r="F682" t="s">
        <v>16</v>
      </c>
      <c r="G682">
        <f>COUNTIF(Data[CustomerID], Data[[#This Row],[CustomerID]])</f>
        <v>3</v>
      </c>
      <c r="H682" s="1" t="str">
        <f>TEXT(Data[OrderDate],"yyyy-mmm")</f>
        <v>2024-Apr</v>
      </c>
      <c r="I682">
        <f>IF(
   COUNTIFS(
      Data[CustomerID], Data[[#This Row],[CustomerID]],
      Data[OrderDate], "&lt;" &amp; EOMONTH(Data[[#This Row],[OrderDate]], -1) + 1
   ) &gt; 0,
   1,
   0
)</f>
        <v>1</v>
      </c>
      <c r="J682">
        <f>YEAR(Data[[#This Row],[OrderDate]])</f>
        <v>2024</v>
      </c>
      <c r="K682" s="2">
        <f>MONTH(Data[[#This Row],[OrderDate]])</f>
        <v>4</v>
      </c>
    </row>
    <row r="683" spans="1:11" x14ac:dyDescent="0.25">
      <c r="A683">
        <v>1288</v>
      </c>
      <c r="B683">
        <v>664</v>
      </c>
      <c r="C683" s="1">
        <v>45392</v>
      </c>
      <c r="D683">
        <v>196.9</v>
      </c>
      <c r="E683" t="s">
        <v>20</v>
      </c>
      <c r="F683" t="s">
        <v>14</v>
      </c>
      <c r="G683">
        <f>COUNTIF(Data[CustomerID], Data[[#This Row],[CustomerID]])</f>
        <v>2</v>
      </c>
      <c r="H683" s="1" t="str">
        <f>TEXT(Data[OrderDate],"yyyy-mmm")</f>
        <v>2024-Apr</v>
      </c>
      <c r="I683">
        <f>IF(
   COUNTIFS(
      Data[CustomerID], Data[[#This Row],[CustomerID]],
      Data[OrderDate], "&lt;" &amp; EOMONTH(Data[[#This Row],[OrderDate]], -1) + 1
   ) &gt; 0,
   1,
   0
)</f>
        <v>1</v>
      </c>
      <c r="J683">
        <f>YEAR(Data[[#This Row],[OrderDate]])</f>
        <v>2024</v>
      </c>
      <c r="K683" s="2">
        <f>MONTH(Data[[#This Row],[OrderDate]])</f>
        <v>4</v>
      </c>
    </row>
    <row r="684" spans="1:11" x14ac:dyDescent="0.25">
      <c r="A684">
        <v>1633</v>
      </c>
      <c r="B684">
        <v>617</v>
      </c>
      <c r="C684" s="1">
        <v>45393</v>
      </c>
      <c r="D684">
        <v>307.91000000000003</v>
      </c>
      <c r="E684" t="s">
        <v>15</v>
      </c>
      <c r="F684" t="s">
        <v>10</v>
      </c>
      <c r="G684">
        <f>COUNTIF(Data[CustomerID], Data[[#This Row],[CustomerID]])</f>
        <v>3</v>
      </c>
      <c r="H684" s="1" t="str">
        <f>TEXT(Data[OrderDate],"yyyy-mmm")</f>
        <v>2024-Apr</v>
      </c>
      <c r="I684">
        <f>IF(
   COUNTIFS(
      Data[CustomerID], Data[[#This Row],[CustomerID]],
      Data[OrderDate], "&lt;" &amp; EOMONTH(Data[[#This Row],[OrderDate]], -1) + 1
   ) &gt; 0,
   1,
   0
)</f>
        <v>1</v>
      </c>
      <c r="J684">
        <f>YEAR(Data[[#This Row],[OrderDate]])</f>
        <v>2024</v>
      </c>
      <c r="K684" s="2">
        <f>MONTH(Data[[#This Row],[OrderDate]])</f>
        <v>4</v>
      </c>
    </row>
    <row r="685" spans="1:11" x14ac:dyDescent="0.25">
      <c r="A685">
        <v>1828</v>
      </c>
      <c r="B685">
        <v>894</v>
      </c>
      <c r="C685" s="1">
        <v>45393</v>
      </c>
      <c r="D685">
        <v>360.94</v>
      </c>
      <c r="E685" t="s">
        <v>15</v>
      </c>
      <c r="F685" t="s">
        <v>12</v>
      </c>
      <c r="G685">
        <f>COUNTIF(Data[CustomerID], Data[[#This Row],[CustomerID]])</f>
        <v>3</v>
      </c>
      <c r="H685" s="1" t="str">
        <f>TEXT(Data[OrderDate],"yyyy-mmm")</f>
        <v>2024-Apr</v>
      </c>
      <c r="I685">
        <f>IF(
   COUNTIFS(
      Data[CustomerID], Data[[#This Row],[CustomerID]],
      Data[OrderDate], "&lt;" &amp; EOMONTH(Data[[#This Row],[OrderDate]], -1) + 1
   ) &gt; 0,
   1,
   0
)</f>
        <v>1</v>
      </c>
      <c r="J685">
        <f>YEAR(Data[[#This Row],[OrderDate]])</f>
        <v>2024</v>
      </c>
      <c r="K685" s="2">
        <f>MONTH(Data[[#This Row],[OrderDate]])</f>
        <v>4</v>
      </c>
    </row>
    <row r="686" spans="1:11" x14ac:dyDescent="0.25">
      <c r="A686">
        <v>1795</v>
      </c>
      <c r="B686">
        <v>224</v>
      </c>
      <c r="C686" s="1">
        <v>45394</v>
      </c>
      <c r="D686">
        <v>316.95</v>
      </c>
      <c r="E686" t="s">
        <v>8</v>
      </c>
      <c r="F686" t="s">
        <v>10</v>
      </c>
      <c r="G686">
        <f>COUNTIF(Data[CustomerID], Data[[#This Row],[CustomerID]])</f>
        <v>3</v>
      </c>
      <c r="H686" s="1" t="str">
        <f>TEXT(Data[OrderDate],"yyyy-mmm")</f>
        <v>2024-Apr</v>
      </c>
      <c r="I686">
        <f>IF(
   COUNTIFS(
      Data[CustomerID], Data[[#This Row],[CustomerID]],
      Data[OrderDate], "&lt;" &amp; EOMONTH(Data[[#This Row],[OrderDate]], -1) + 1
   ) &gt; 0,
   1,
   0
)</f>
        <v>1</v>
      </c>
      <c r="J686">
        <f>YEAR(Data[[#This Row],[OrderDate]])</f>
        <v>2024</v>
      </c>
      <c r="K686" s="2">
        <f>MONTH(Data[[#This Row],[OrderDate]])</f>
        <v>4</v>
      </c>
    </row>
    <row r="687" spans="1:11" x14ac:dyDescent="0.25">
      <c r="A687">
        <v>1037</v>
      </c>
      <c r="B687">
        <v>440</v>
      </c>
      <c r="C687" s="1">
        <v>45395</v>
      </c>
      <c r="D687">
        <v>65.41</v>
      </c>
      <c r="E687" t="s">
        <v>13</v>
      </c>
      <c r="F687" t="s">
        <v>7</v>
      </c>
      <c r="G687">
        <f>COUNTIF(Data[CustomerID], Data[[#This Row],[CustomerID]])</f>
        <v>1</v>
      </c>
      <c r="H687" s="1" t="str">
        <f>TEXT(Data[OrderDate],"yyyy-mmm")</f>
        <v>2024-Apr</v>
      </c>
      <c r="I687">
        <f>IF(
   COUNTIFS(
      Data[CustomerID], Data[[#This Row],[CustomerID]],
      Data[OrderDate], "&lt;" &amp; EOMONTH(Data[[#This Row],[OrderDate]], -1) + 1
   ) &gt; 0,
   1,
   0
)</f>
        <v>0</v>
      </c>
      <c r="J687">
        <f>YEAR(Data[[#This Row],[OrderDate]])</f>
        <v>2024</v>
      </c>
      <c r="K687" s="2">
        <f>MONTH(Data[[#This Row],[OrderDate]])</f>
        <v>4</v>
      </c>
    </row>
    <row r="688" spans="1:11" x14ac:dyDescent="0.25">
      <c r="A688">
        <v>1489</v>
      </c>
      <c r="B688">
        <v>513</v>
      </c>
      <c r="C688" s="1">
        <v>45395</v>
      </c>
      <c r="D688">
        <v>55.56</v>
      </c>
      <c r="E688" t="s">
        <v>13</v>
      </c>
      <c r="F688" t="s">
        <v>16</v>
      </c>
      <c r="G688">
        <f>COUNTIF(Data[CustomerID], Data[[#This Row],[CustomerID]])</f>
        <v>2</v>
      </c>
      <c r="H688" s="1" t="str">
        <f>TEXT(Data[OrderDate],"yyyy-mmm")</f>
        <v>2024-Apr</v>
      </c>
      <c r="I688">
        <f>IF(
   COUNTIFS(
      Data[CustomerID], Data[[#This Row],[CustomerID]],
      Data[OrderDate], "&lt;" &amp; EOMONTH(Data[[#This Row],[OrderDate]], -1) + 1
   ) &gt; 0,
   1,
   0
)</f>
        <v>0</v>
      </c>
      <c r="J688">
        <f>YEAR(Data[[#This Row],[OrderDate]])</f>
        <v>2024</v>
      </c>
      <c r="K688" s="2">
        <f>MONTH(Data[[#This Row],[OrderDate]])</f>
        <v>4</v>
      </c>
    </row>
    <row r="689" spans="1:11" x14ac:dyDescent="0.25">
      <c r="A689">
        <v>1392</v>
      </c>
      <c r="B689">
        <v>187</v>
      </c>
      <c r="C689" s="1">
        <v>45396</v>
      </c>
      <c r="D689">
        <v>489.42</v>
      </c>
      <c r="E689" t="s">
        <v>13</v>
      </c>
      <c r="F689" t="s">
        <v>12</v>
      </c>
      <c r="G689">
        <f>COUNTIF(Data[CustomerID], Data[[#This Row],[CustomerID]])</f>
        <v>4</v>
      </c>
      <c r="H689" s="1" t="str">
        <f>TEXT(Data[OrderDate],"yyyy-mmm")</f>
        <v>2024-Apr</v>
      </c>
      <c r="I689">
        <f>IF(
   COUNTIFS(
      Data[CustomerID], Data[[#This Row],[CustomerID]],
      Data[OrderDate], "&lt;" &amp; EOMONTH(Data[[#This Row],[OrderDate]], -1) + 1
   ) &gt; 0,
   1,
   0
)</f>
        <v>1</v>
      </c>
      <c r="J689">
        <f>YEAR(Data[[#This Row],[OrderDate]])</f>
        <v>2024</v>
      </c>
      <c r="K689" s="2">
        <f>MONTH(Data[[#This Row],[OrderDate]])</f>
        <v>4</v>
      </c>
    </row>
    <row r="690" spans="1:11" x14ac:dyDescent="0.25">
      <c r="A690">
        <v>1817</v>
      </c>
      <c r="B690">
        <v>529</v>
      </c>
      <c r="C690" s="1">
        <v>45397</v>
      </c>
      <c r="D690">
        <v>441.82</v>
      </c>
      <c r="E690" t="s">
        <v>6</v>
      </c>
      <c r="F690" t="s">
        <v>7</v>
      </c>
      <c r="G690">
        <f>COUNTIF(Data[CustomerID], Data[[#This Row],[CustomerID]])</f>
        <v>1</v>
      </c>
      <c r="H690" s="1" t="str">
        <f>TEXT(Data[OrderDate],"yyyy-mmm")</f>
        <v>2024-Apr</v>
      </c>
      <c r="I690">
        <f>IF(
   COUNTIFS(
      Data[CustomerID], Data[[#This Row],[CustomerID]],
      Data[OrderDate], "&lt;" &amp; EOMONTH(Data[[#This Row],[OrderDate]], -1) + 1
   ) &gt; 0,
   1,
   0
)</f>
        <v>0</v>
      </c>
      <c r="J690">
        <f>YEAR(Data[[#This Row],[OrderDate]])</f>
        <v>2024</v>
      </c>
      <c r="K690" s="2">
        <f>MONTH(Data[[#This Row],[OrderDate]])</f>
        <v>4</v>
      </c>
    </row>
    <row r="691" spans="1:11" x14ac:dyDescent="0.25">
      <c r="A691">
        <v>1391</v>
      </c>
      <c r="B691">
        <v>145</v>
      </c>
      <c r="C691" s="1">
        <v>45400</v>
      </c>
      <c r="D691">
        <v>391.99</v>
      </c>
      <c r="E691" t="s">
        <v>8</v>
      </c>
      <c r="F691" t="s">
        <v>18</v>
      </c>
      <c r="G691">
        <f>COUNTIF(Data[CustomerID], Data[[#This Row],[CustomerID]])</f>
        <v>2</v>
      </c>
      <c r="H691" s="1" t="str">
        <f>TEXT(Data[OrderDate],"yyyy-mmm")</f>
        <v>2024-Apr</v>
      </c>
      <c r="I691">
        <f>IF(
   COUNTIFS(
      Data[CustomerID], Data[[#This Row],[CustomerID]],
      Data[OrderDate], "&lt;" &amp; EOMONTH(Data[[#This Row],[OrderDate]], -1) + 1
   ) &gt; 0,
   1,
   0
)</f>
        <v>0</v>
      </c>
      <c r="J691">
        <f>YEAR(Data[[#This Row],[OrderDate]])</f>
        <v>2024</v>
      </c>
      <c r="K691" s="2">
        <f>MONTH(Data[[#This Row],[OrderDate]])</f>
        <v>4</v>
      </c>
    </row>
    <row r="692" spans="1:11" x14ac:dyDescent="0.25">
      <c r="A692">
        <v>1986</v>
      </c>
      <c r="B692">
        <v>171</v>
      </c>
      <c r="C692" s="1">
        <v>45400</v>
      </c>
      <c r="D692">
        <v>263.26</v>
      </c>
      <c r="E692" t="s">
        <v>8</v>
      </c>
      <c r="F692" t="s">
        <v>10</v>
      </c>
      <c r="G692">
        <f>COUNTIF(Data[CustomerID], Data[[#This Row],[CustomerID]])</f>
        <v>1</v>
      </c>
      <c r="H692" s="1" t="str">
        <f>TEXT(Data[OrderDate],"yyyy-mmm")</f>
        <v>2024-Apr</v>
      </c>
      <c r="I692">
        <f>IF(
   COUNTIFS(
      Data[CustomerID], Data[[#This Row],[CustomerID]],
      Data[OrderDate], "&lt;" &amp; EOMONTH(Data[[#This Row],[OrderDate]], -1) + 1
   ) &gt; 0,
   1,
   0
)</f>
        <v>0</v>
      </c>
      <c r="J692">
        <f>YEAR(Data[[#This Row],[OrderDate]])</f>
        <v>2024</v>
      </c>
      <c r="K692" s="2">
        <f>MONTH(Data[[#This Row],[OrderDate]])</f>
        <v>4</v>
      </c>
    </row>
    <row r="693" spans="1:11" x14ac:dyDescent="0.25">
      <c r="A693">
        <v>1684</v>
      </c>
      <c r="B693">
        <v>915</v>
      </c>
      <c r="C693" s="1">
        <v>45400</v>
      </c>
      <c r="D693">
        <v>40.97</v>
      </c>
      <c r="E693" t="s">
        <v>6</v>
      </c>
      <c r="F693" t="s">
        <v>14</v>
      </c>
      <c r="G693">
        <f>COUNTIF(Data[CustomerID], Data[[#This Row],[CustomerID]])</f>
        <v>2</v>
      </c>
      <c r="H693" s="1" t="str">
        <f>TEXT(Data[OrderDate],"yyyy-mmm")</f>
        <v>2024-Apr</v>
      </c>
      <c r="I693">
        <f>IF(
   COUNTIFS(
      Data[CustomerID], Data[[#This Row],[CustomerID]],
      Data[OrderDate], "&lt;" &amp; EOMONTH(Data[[#This Row],[OrderDate]], -1) + 1
   ) &gt; 0,
   1,
   0
)</f>
        <v>0</v>
      </c>
      <c r="J693">
        <f>YEAR(Data[[#This Row],[OrderDate]])</f>
        <v>2024</v>
      </c>
      <c r="K693" s="2">
        <f>MONTH(Data[[#This Row],[OrderDate]])</f>
        <v>4</v>
      </c>
    </row>
    <row r="694" spans="1:11" x14ac:dyDescent="0.25">
      <c r="A694">
        <v>1915</v>
      </c>
      <c r="B694">
        <v>422</v>
      </c>
      <c r="C694" s="1">
        <v>45401</v>
      </c>
      <c r="D694">
        <v>466.7</v>
      </c>
      <c r="E694" t="s">
        <v>11</v>
      </c>
      <c r="F694" t="s">
        <v>14</v>
      </c>
      <c r="G694">
        <f>COUNTIF(Data[CustomerID], Data[[#This Row],[CustomerID]])</f>
        <v>1</v>
      </c>
      <c r="H694" s="1" t="str">
        <f>TEXT(Data[OrderDate],"yyyy-mmm")</f>
        <v>2024-Apr</v>
      </c>
      <c r="I694">
        <f>IF(
   COUNTIFS(
      Data[CustomerID], Data[[#This Row],[CustomerID]],
      Data[OrderDate], "&lt;" &amp; EOMONTH(Data[[#This Row],[OrderDate]], -1) + 1
   ) &gt; 0,
   1,
   0
)</f>
        <v>0</v>
      </c>
      <c r="J694">
        <f>YEAR(Data[[#This Row],[OrderDate]])</f>
        <v>2024</v>
      </c>
      <c r="K694" s="2">
        <f>MONTH(Data[[#This Row],[OrderDate]])</f>
        <v>4</v>
      </c>
    </row>
    <row r="695" spans="1:11" x14ac:dyDescent="0.25">
      <c r="A695">
        <v>1661</v>
      </c>
      <c r="B695">
        <v>21</v>
      </c>
      <c r="C695" s="1">
        <v>45402</v>
      </c>
      <c r="D695">
        <v>176.28</v>
      </c>
      <c r="E695" t="s">
        <v>9</v>
      </c>
      <c r="F695" t="s">
        <v>14</v>
      </c>
      <c r="G695">
        <f>COUNTIF(Data[CustomerID], Data[[#This Row],[CustomerID]])</f>
        <v>1</v>
      </c>
      <c r="H695" s="1" t="str">
        <f>TEXT(Data[OrderDate],"yyyy-mmm")</f>
        <v>2024-Apr</v>
      </c>
      <c r="I695">
        <f>IF(
   COUNTIFS(
      Data[CustomerID], Data[[#This Row],[CustomerID]],
      Data[OrderDate], "&lt;" &amp; EOMONTH(Data[[#This Row],[OrderDate]], -1) + 1
   ) &gt; 0,
   1,
   0
)</f>
        <v>0</v>
      </c>
      <c r="J695">
        <f>YEAR(Data[[#This Row],[OrderDate]])</f>
        <v>2024</v>
      </c>
      <c r="K695" s="2">
        <f>MONTH(Data[[#This Row],[OrderDate]])</f>
        <v>4</v>
      </c>
    </row>
    <row r="696" spans="1:11" x14ac:dyDescent="0.25">
      <c r="A696">
        <v>1225</v>
      </c>
      <c r="B696">
        <v>448</v>
      </c>
      <c r="C696" s="1">
        <v>45402</v>
      </c>
      <c r="D696">
        <v>303.26</v>
      </c>
      <c r="E696" t="s">
        <v>15</v>
      </c>
      <c r="F696" t="s">
        <v>19</v>
      </c>
      <c r="G696">
        <f>COUNTIF(Data[CustomerID], Data[[#This Row],[CustomerID]])</f>
        <v>1</v>
      </c>
      <c r="H696" s="1" t="str">
        <f>TEXT(Data[OrderDate],"yyyy-mmm")</f>
        <v>2024-Apr</v>
      </c>
      <c r="I696">
        <f>IF(
   COUNTIFS(
      Data[CustomerID], Data[[#This Row],[CustomerID]],
      Data[OrderDate], "&lt;" &amp; EOMONTH(Data[[#This Row],[OrderDate]], -1) + 1
   ) &gt; 0,
   1,
   0
)</f>
        <v>0</v>
      </c>
      <c r="J696">
        <f>YEAR(Data[[#This Row],[OrderDate]])</f>
        <v>2024</v>
      </c>
      <c r="K696" s="2">
        <f>MONTH(Data[[#This Row],[OrderDate]])</f>
        <v>4</v>
      </c>
    </row>
    <row r="697" spans="1:11" x14ac:dyDescent="0.25">
      <c r="A697">
        <v>1115</v>
      </c>
      <c r="B697">
        <v>486</v>
      </c>
      <c r="C697" s="1">
        <v>45402</v>
      </c>
      <c r="D697">
        <v>396.22</v>
      </c>
      <c r="E697" t="s">
        <v>15</v>
      </c>
      <c r="F697" t="s">
        <v>16</v>
      </c>
      <c r="G697">
        <f>COUNTIF(Data[CustomerID], Data[[#This Row],[CustomerID]])</f>
        <v>1</v>
      </c>
      <c r="H697" s="1" t="str">
        <f>TEXT(Data[OrderDate],"yyyy-mmm")</f>
        <v>2024-Apr</v>
      </c>
      <c r="I697">
        <f>IF(
   COUNTIFS(
      Data[CustomerID], Data[[#This Row],[CustomerID]],
      Data[OrderDate], "&lt;" &amp; EOMONTH(Data[[#This Row],[OrderDate]], -1) + 1
   ) &gt; 0,
   1,
   0
)</f>
        <v>0</v>
      </c>
      <c r="J697">
        <f>YEAR(Data[[#This Row],[OrderDate]])</f>
        <v>2024</v>
      </c>
      <c r="K697" s="2">
        <f>MONTH(Data[[#This Row],[OrderDate]])</f>
        <v>4</v>
      </c>
    </row>
    <row r="698" spans="1:11" x14ac:dyDescent="0.25">
      <c r="A698">
        <v>1866</v>
      </c>
      <c r="B698">
        <v>588</v>
      </c>
      <c r="C698" s="1">
        <v>45402</v>
      </c>
      <c r="D698">
        <v>11.29</v>
      </c>
      <c r="E698" t="s">
        <v>11</v>
      </c>
      <c r="F698" t="s">
        <v>14</v>
      </c>
      <c r="G698">
        <f>COUNTIF(Data[CustomerID], Data[[#This Row],[CustomerID]])</f>
        <v>3</v>
      </c>
      <c r="H698" s="1" t="str">
        <f>TEXT(Data[OrderDate],"yyyy-mmm")</f>
        <v>2024-Apr</v>
      </c>
      <c r="I698">
        <f>IF(
   COUNTIFS(
      Data[CustomerID], Data[[#This Row],[CustomerID]],
      Data[OrderDate], "&lt;" &amp; EOMONTH(Data[[#This Row],[OrderDate]], -1) + 1
   ) &gt; 0,
   1,
   0
)</f>
        <v>1</v>
      </c>
      <c r="J698">
        <f>YEAR(Data[[#This Row],[OrderDate]])</f>
        <v>2024</v>
      </c>
      <c r="K698" s="2">
        <f>MONTH(Data[[#This Row],[OrderDate]])</f>
        <v>4</v>
      </c>
    </row>
    <row r="699" spans="1:11" x14ac:dyDescent="0.25">
      <c r="A699">
        <v>1191</v>
      </c>
      <c r="B699">
        <v>462</v>
      </c>
      <c r="C699" s="1">
        <v>45403</v>
      </c>
      <c r="D699">
        <v>136.37</v>
      </c>
      <c r="E699" t="s">
        <v>15</v>
      </c>
      <c r="F699" t="s">
        <v>18</v>
      </c>
      <c r="G699">
        <f>COUNTIF(Data[CustomerID], Data[[#This Row],[CustomerID]])</f>
        <v>3</v>
      </c>
      <c r="H699" s="1" t="str">
        <f>TEXT(Data[OrderDate],"yyyy-mmm")</f>
        <v>2024-Apr</v>
      </c>
      <c r="I699">
        <f>IF(
   COUNTIFS(
      Data[CustomerID], Data[[#This Row],[CustomerID]],
      Data[OrderDate], "&lt;" &amp; EOMONTH(Data[[#This Row],[OrderDate]], -1) + 1
   ) &gt; 0,
   1,
   0
)</f>
        <v>1</v>
      </c>
      <c r="J699">
        <f>YEAR(Data[[#This Row],[OrderDate]])</f>
        <v>2024</v>
      </c>
      <c r="K699" s="2">
        <f>MONTH(Data[[#This Row],[OrderDate]])</f>
        <v>4</v>
      </c>
    </row>
    <row r="700" spans="1:11" x14ac:dyDescent="0.25">
      <c r="A700">
        <v>1515</v>
      </c>
      <c r="B700">
        <v>684</v>
      </c>
      <c r="C700" s="1">
        <v>45403</v>
      </c>
      <c r="D700">
        <v>413.44</v>
      </c>
      <c r="E700" t="s">
        <v>20</v>
      </c>
      <c r="F700" t="s">
        <v>19</v>
      </c>
      <c r="G700">
        <f>COUNTIF(Data[CustomerID], Data[[#This Row],[CustomerID]])</f>
        <v>2</v>
      </c>
      <c r="H700" s="1" t="str">
        <f>TEXT(Data[OrderDate],"yyyy-mmm")</f>
        <v>2024-Apr</v>
      </c>
      <c r="I700">
        <f>IF(
   COUNTIFS(
      Data[CustomerID], Data[[#This Row],[CustomerID]],
      Data[OrderDate], "&lt;" &amp; EOMONTH(Data[[#This Row],[OrderDate]], -1) + 1
   ) &gt; 0,
   1,
   0
)</f>
        <v>1</v>
      </c>
      <c r="J700">
        <f>YEAR(Data[[#This Row],[OrderDate]])</f>
        <v>2024</v>
      </c>
      <c r="K700" s="2">
        <f>MONTH(Data[[#This Row],[OrderDate]])</f>
        <v>4</v>
      </c>
    </row>
    <row r="701" spans="1:11" x14ac:dyDescent="0.25">
      <c r="A701">
        <v>1848</v>
      </c>
      <c r="B701">
        <v>726</v>
      </c>
      <c r="C701" s="1">
        <v>45403</v>
      </c>
      <c r="D701">
        <v>452.44</v>
      </c>
      <c r="E701" t="s">
        <v>15</v>
      </c>
      <c r="F701" t="s">
        <v>14</v>
      </c>
      <c r="G701">
        <f>COUNTIF(Data[CustomerID], Data[[#This Row],[CustomerID]])</f>
        <v>1</v>
      </c>
      <c r="H701" s="1" t="str">
        <f>TEXT(Data[OrderDate],"yyyy-mmm")</f>
        <v>2024-Apr</v>
      </c>
      <c r="I701">
        <f>IF(
   COUNTIFS(
      Data[CustomerID], Data[[#This Row],[CustomerID]],
      Data[OrderDate], "&lt;" &amp; EOMONTH(Data[[#This Row],[OrderDate]], -1) + 1
   ) &gt; 0,
   1,
   0
)</f>
        <v>0</v>
      </c>
      <c r="J701">
        <f>YEAR(Data[[#This Row],[OrderDate]])</f>
        <v>2024</v>
      </c>
      <c r="K701" s="2">
        <f>MONTH(Data[[#This Row],[OrderDate]])</f>
        <v>4</v>
      </c>
    </row>
    <row r="702" spans="1:11" x14ac:dyDescent="0.25">
      <c r="A702">
        <v>1763</v>
      </c>
      <c r="B702">
        <v>331</v>
      </c>
      <c r="C702" s="1">
        <v>45404</v>
      </c>
      <c r="D702">
        <v>173.84</v>
      </c>
      <c r="E702" t="s">
        <v>11</v>
      </c>
      <c r="F702" t="s">
        <v>7</v>
      </c>
      <c r="G702">
        <f>COUNTIF(Data[CustomerID], Data[[#This Row],[CustomerID]])</f>
        <v>4</v>
      </c>
      <c r="H702" s="1" t="str">
        <f>TEXT(Data[OrderDate],"yyyy-mmm")</f>
        <v>2024-Apr</v>
      </c>
      <c r="I702">
        <f>IF(
   COUNTIFS(
      Data[CustomerID], Data[[#This Row],[CustomerID]],
      Data[OrderDate], "&lt;" &amp; EOMONTH(Data[[#This Row],[OrderDate]], -1) + 1
   ) &gt; 0,
   1,
   0
)</f>
        <v>1</v>
      </c>
      <c r="J702">
        <f>YEAR(Data[[#This Row],[OrderDate]])</f>
        <v>2024</v>
      </c>
      <c r="K702" s="2">
        <f>MONTH(Data[[#This Row],[OrderDate]])</f>
        <v>4</v>
      </c>
    </row>
    <row r="703" spans="1:11" x14ac:dyDescent="0.25">
      <c r="A703">
        <v>1434</v>
      </c>
      <c r="B703">
        <v>643</v>
      </c>
      <c r="C703" s="1">
        <v>45404</v>
      </c>
      <c r="D703">
        <v>417.18</v>
      </c>
      <c r="E703" t="s">
        <v>15</v>
      </c>
      <c r="F703" t="s">
        <v>10</v>
      </c>
      <c r="G703">
        <f>COUNTIF(Data[CustomerID], Data[[#This Row],[CustomerID]])</f>
        <v>1</v>
      </c>
      <c r="H703" s="1" t="str">
        <f>TEXT(Data[OrderDate],"yyyy-mmm")</f>
        <v>2024-Apr</v>
      </c>
      <c r="I703">
        <f>IF(
   COUNTIFS(
      Data[CustomerID], Data[[#This Row],[CustomerID]],
      Data[OrderDate], "&lt;" &amp; EOMONTH(Data[[#This Row],[OrderDate]], -1) + 1
   ) &gt; 0,
   1,
   0
)</f>
        <v>0</v>
      </c>
      <c r="J703">
        <f>YEAR(Data[[#This Row],[OrderDate]])</f>
        <v>2024</v>
      </c>
      <c r="K703" s="2">
        <f>MONTH(Data[[#This Row],[OrderDate]])</f>
        <v>4</v>
      </c>
    </row>
    <row r="704" spans="1:11" x14ac:dyDescent="0.25">
      <c r="A704">
        <v>1345</v>
      </c>
      <c r="B704">
        <v>72</v>
      </c>
      <c r="C704" s="1">
        <v>45407</v>
      </c>
      <c r="D704">
        <v>169.5</v>
      </c>
      <c r="E704" t="s">
        <v>6</v>
      </c>
      <c r="F704" t="s">
        <v>12</v>
      </c>
      <c r="G704">
        <f>COUNTIF(Data[CustomerID], Data[[#This Row],[CustomerID]])</f>
        <v>4</v>
      </c>
      <c r="H704" s="1" t="str">
        <f>TEXT(Data[OrderDate],"yyyy-mmm")</f>
        <v>2024-Apr</v>
      </c>
      <c r="I704">
        <f>IF(
   COUNTIFS(
      Data[CustomerID], Data[[#This Row],[CustomerID]],
      Data[OrderDate], "&lt;" &amp; EOMONTH(Data[[#This Row],[OrderDate]], -1) + 1
   ) &gt; 0,
   1,
   0
)</f>
        <v>1</v>
      </c>
      <c r="J704">
        <f>YEAR(Data[[#This Row],[OrderDate]])</f>
        <v>2024</v>
      </c>
      <c r="K704" s="2">
        <f>MONTH(Data[[#This Row],[OrderDate]])</f>
        <v>4</v>
      </c>
    </row>
    <row r="705" spans="1:11" x14ac:dyDescent="0.25">
      <c r="A705">
        <v>1637</v>
      </c>
      <c r="B705">
        <v>622</v>
      </c>
      <c r="C705" s="1">
        <v>45408</v>
      </c>
      <c r="D705">
        <v>439.18</v>
      </c>
      <c r="E705" t="s">
        <v>11</v>
      </c>
      <c r="F705" t="s">
        <v>19</v>
      </c>
      <c r="G705">
        <f>COUNTIF(Data[CustomerID], Data[[#This Row],[CustomerID]])</f>
        <v>3</v>
      </c>
      <c r="H705" s="1" t="str">
        <f>TEXT(Data[OrderDate],"yyyy-mmm")</f>
        <v>2024-Apr</v>
      </c>
      <c r="I705">
        <f>IF(
   COUNTIFS(
      Data[CustomerID], Data[[#This Row],[CustomerID]],
      Data[OrderDate], "&lt;" &amp; EOMONTH(Data[[#This Row],[OrderDate]], -1) + 1
   ) &gt; 0,
   1,
   0
)</f>
        <v>1</v>
      </c>
      <c r="J705">
        <f>YEAR(Data[[#This Row],[OrderDate]])</f>
        <v>2024</v>
      </c>
      <c r="K705" s="2">
        <f>MONTH(Data[[#This Row],[OrderDate]])</f>
        <v>4</v>
      </c>
    </row>
    <row r="706" spans="1:11" x14ac:dyDescent="0.25">
      <c r="A706">
        <v>1232</v>
      </c>
      <c r="B706">
        <v>934</v>
      </c>
      <c r="C706" s="1">
        <v>45408</v>
      </c>
      <c r="D706">
        <v>197.93</v>
      </c>
      <c r="E706" t="s">
        <v>8</v>
      </c>
      <c r="F706" t="s">
        <v>16</v>
      </c>
      <c r="G706">
        <f>COUNTIF(Data[CustomerID], Data[[#This Row],[CustomerID]])</f>
        <v>4</v>
      </c>
      <c r="H706" s="1" t="str">
        <f>TEXT(Data[OrderDate],"yyyy-mmm")</f>
        <v>2024-Apr</v>
      </c>
      <c r="I706">
        <f>IF(
   COUNTIFS(
      Data[CustomerID], Data[[#This Row],[CustomerID]],
      Data[OrderDate], "&lt;" &amp; EOMONTH(Data[[#This Row],[OrderDate]], -1) + 1
   ) &gt; 0,
   1,
   0
)</f>
        <v>1</v>
      </c>
      <c r="J706">
        <f>YEAR(Data[[#This Row],[OrderDate]])</f>
        <v>2024</v>
      </c>
      <c r="K706" s="2">
        <f>MONTH(Data[[#This Row],[OrderDate]])</f>
        <v>4</v>
      </c>
    </row>
    <row r="707" spans="1:11" x14ac:dyDescent="0.25">
      <c r="A707">
        <v>1408</v>
      </c>
      <c r="B707">
        <v>907</v>
      </c>
      <c r="C707" s="1">
        <v>45410</v>
      </c>
      <c r="D707">
        <v>370.95</v>
      </c>
      <c r="E707" t="s">
        <v>15</v>
      </c>
      <c r="F707" t="s">
        <v>10</v>
      </c>
      <c r="G707">
        <f>COUNTIF(Data[CustomerID], Data[[#This Row],[CustomerID]])</f>
        <v>1</v>
      </c>
      <c r="H707" s="1" t="str">
        <f>TEXT(Data[OrderDate],"yyyy-mmm")</f>
        <v>2024-Apr</v>
      </c>
      <c r="I707">
        <f>IF(
   COUNTIFS(
      Data[CustomerID], Data[[#This Row],[CustomerID]],
      Data[OrderDate], "&lt;" &amp; EOMONTH(Data[[#This Row],[OrderDate]], -1) + 1
   ) &gt; 0,
   1,
   0
)</f>
        <v>0</v>
      </c>
      <c r="J707">
        <f>YEAR(Data[[#This Row],[OrderDate]])</f>
        <v>2024</v>
      </c>
      <c r="K707" s="2">
        <f>MONTH(Data[[#This Row],[OrderDate]])</f>
        <v>4</v>
      </c>
    </row>
    <row r="708" spans="1:11" x14ac:dyDescent="0.25">
      <c r="A708">
        <v>1727</v>
      </c>
      <c r="B708">
        <v>165</v>
      </c>
      <c r="C708" s="1">
        <v>45411</v>
      </c>
      <c r="D708">
        <v>344.55</v>
      </c>
      <c r="E708" t="s">
        <v>17</v>
      </c>
      <c r="F708" t="s">
        <v>7</v>
      </c>
      <c r="G708">
        <f>COUNTIF(Data[CustomerID], Data[[#This Row],[CustomerID]])</f>
        <v>1</v>
      </c>
      <c r="H708" s="1" t="str">
        <f>TEXT(Data[OrderDate],"yyyy-mmm")</f>
        <v>2024-Apr</v>
      </c>
      <c r="I708">
        <f>IF(
   COUNTIFS(
      Data[CustomerID], Data[[#This Row],[CustomerID]],
      Data[OrderDate], "&lt;" &amp; EOMONTH(Data[[#This Row],[OrderDate]], -1) + 1
   ) &gt; 0,
   1,
   0
)</f>
        <v>0</v>
      </c>
      <c r="J708">
        <f>YEAR(Data[[#This Row],[OrderDate]])</f>
        <v>2024</v>
      </c>
      <c r="K708" s="2">
        <f>MONTH(Data[[#This Row],[OrderDate]])</f>
        <v>4</v>
      </c>
    </row>
    <row r="709" spans="1:11" x14ac:dyDescent="0.25">
      <c r="A709">
        <v>1431</v>
      </c>
      <c r="B709">
        <v>660</v>
      </c>
      <c r="C709" s="1">
        <v>45411</v>
      </c>
      <c r="D709">
        <v>93.29</v>
      </c>
      <c r="E709" t="s">
        <v>15</v>
      </c>
      <c r="F709" t="s">
        <v>14</v>
      </c>
      <c r="G709">
        <f>COUNTIF(Data[CustomerID], Data[[#This Row],[CustomerID]])</f>
        <v>1</v>
      </c>
      <c r="H709" s="1" t="str">
        <f>TEXT(Data[OrderDate],"yyyy-mmm")</f>
        <v>2024-Apr</v>
      </c>
      <c r="I709">
        <f>IF(
   COUNTIFS(
      Data[CustomerID], Data[[#This Row],[CustomerID]],
      Data[OrderDate], "&lt;" &amp; EOMONTH(Data[[#This Row],[OrderDate]], -1) + 1
   ) &gt; 0,
   1,
   0
)</f>
        <v>0</v>
      </c>
      <c r="J709">
        <f>YEAR(Data[[#This Row],[OrderDate]])</f>
        <v>2024</v>
      </c>
      <c r="K709" s="2">
        <f>MONTH(Data[[#This Row],[OrderDate]])</f>
        <v>4</v>
      </c>
    </row>
    <row r="710" spans="1:11" x14ac:dyDescent="0.25">
      <c r="A710">
        <v>1856</v>
      </c>
      <c r="B710">
        <v>38</v>
      </c>
      <c r="C710" s="1">
        <v>45414</v>
      </c>
      <c r="D710">
        <v>66.489999999999995</v>
      </c>
      <c r="E710" t="s">
        <v>17</v>
      </c>
      <c r="F710" t="s">
        <v>10</v>
      </c>
      <c r="G710">
        <f>COUNTIF(Data[CustomerID], Data[[#This Row],[CustomerID]])</f>
        <v>2</v>
      </c>
      <c r="H710" s="1" t="str">
        <f>TEXT(Data[OrderDate],"yyyy-mmm")</f>
        <v>2024-May</v>
      </c>
      <c r="I710">
        <f>IF(
   COUNTIFS(
      Data[CustomerID], Data[[#This Row],[CustomerID]],
      Data[OrderDate], "&lt;" &amp; EOMONTH(Data[[#This Row],[OrderDate]], -1) + 1
   ) &gt; 0,
   1,
   0
)</f>
        <v>1</v>
      </c>
      <c r="J710">
        <f>YEAR(Data[[#This Row],[OrderDate]])</f>
        <v>2024</v>
      </c>
      <c r="K710" s="2">
        <f>MONTH(Data[[#This Row],[OrderDate]])</f>
        <v>5</v>
      </c>
    </row>
    <row r="711" spans="1:11" x14ac:dyDescent="0.25">
      <c r="A711">
        <v>1761</v>
      </c>
      <c r="B711">
        <v>669</v>
      </c>
      <c r="C711" s="1">
        <v>45415</v>
      </c>
      <c r="D711">
        <v>56.55</v>
      </c>
      <c r="E711" t="s">
        <v>15</v>
      </c>
      <c r="F711" t="s">
        <v>10</v>
      </c>
      <c r="G711">
        <f>COUNTIF(Data[CustomerID], Data[[#This Row],[CustomerID]])</f>
        <v>2</v>
      </c>
      <c r="H711" s="1" t="str">
        <f>TEXT(Data[OrderDate],"yyyy-mmm")</f>
        <v>2024-May</v>
      </c>
      <c r="I711">
        <f>IF(
   COUNTIFS(
      Data[CustomerID], Data[[#This Row],[CustomerID]],
      Data[OrderDate], "&lt;" &amp; EOMONTH(Data[[#This Row],[OrderDate]], -1) + 1
   ) &gt; 0,
   1,
   0
)</f>
        <v>1</v>
      </c>
      <c r="J711">
        <f>YEAR(Data[[#This Row],[OrderDate]])</f>
        <v>2024</v>
      </c>
      <c r="K711" s="2">
        <f>MONTH(Data[[#This Row],[OrderDate]])</f>
        <v>5</v>
      </c>
    </row>
    <row r="712" spans="1:11" x14ac:dyDescent="0.25">
      <c r="A712">
        <v>1372</v>
      </c>
      <c r="B712">
        <v>940</v>
      </c>
      <c r="C712" s="1">
        <v>45415</v>
      </c>
      <c r="D712">
        <v>402.17</v>
      </c>
      <c r="E712" t="s">
        <v>20</v>
      </c>
      <c r="F712" t="s">
        <v>7</v>
      </c>
      <c r="G712">
        <f>COUNTIF(Data[CustomerID], Data[[#This Row],[CustomerID]])</f>
        <v>4</v>
      </c>
      <c r="H712" s="1" t="str">
        <f>TEXT(Data[OrderDate],"yyyy-mmm")</f>
        <v>2024-May</v>
      </c>
      <c r="I712">
        <f>IF(
   COUNTIFS(
      Data[CustomerID], Data[[#This Row],[CustomerID]],
      Data[OrderDate], "&lt;" &amp; EOMONTH(Data[[#This Row],[OrderDate]], -1) + 1
   ) &gt; 0,
   1,
   0
)</f>
        <v>1</v>
      </c>
      <c r="J712">
        <f>YEAR(Data[[#This Row],[OrderDate]])</f>
        <v>2024</v>
      </c>
      <c r="K712" s="2">
        <f>MONTH(Data[[#This Row],[OrderDate]])</f>
        <v>5</v>
      </c>
    </row>
    <row r="713" spans="1:11" x14ac:dyDescent="0.25">
      <c r="A713">
        <v>1496</v>
      </c>
      <c r="B713">
        <v>690</v>
      </c>
      <c r="C713" s="1">
        <v>45416</v>
      </c>
      <c r="D713">
        <v>188.85</v>
      </c>
      <c r="E713" t="s">
        <v>8</v>
      </c>
      <c r="F713" t="s">
        <v>7</v>
      </c>
      <c r="G713">
        <f>COUNTIF(Data[CustomerID], Data[[#This Row],[CustomerID]])</f>
        <v>3</v>
      </c>
      <c r="H713" s="1" t="str">
        <f>TEXT(Data[OrderDate],"yyyy-mmm")</f>
        <v>2024-May</v>
      </c>
      <c r="I713">
        <f>IF(
   COUNTIFS(
      Data[CustomerID], Data[[#This Row],[CustomerID]],
      Data[OrderDate], "&lt;" &amp; EOMONTH(Data[[#This Row],[OrderDate]], -1) + 1
   ) &gt; 0,
   1,
   0
)</f>
        <v>1</v>
      </c>
      <c r="J713">
        <f>YEAR(Data[[#This Row],[OrderDate]])</f>
        <v>2024</v>
      </c>
      <c r="K713" s="2">
        <f>MONTH(Data[[#This Row],[OrderDate]])</f>
        <v>5</v>
      </c>
    </row>
    <row r="714" spans="1:11" x14ac:dyDescent="0.25">
      <c r="A714">
        <v>1395</v>
      </c>
      <c r="B714">
        <v>788</v>
      </c>
      <c r="C714" s="1">
        <v>45416</v>
      </c>
      <c r="D714">
        <v>308.39</v>
      </c>
      <c r="E714" t="s">
        <v>8</v>
      </c>
      <c r="F714" t="s">
        <v>18</v>
      </c>
      <c r="G714">
        <f>COUNTIF(Data[CustomerID], Data[[#This Row],[CustomerID]])</f>
        <v>2</v>
      </c>
      <c r="H714" s="1" t="str">
        <f>TEXT(Data[OrderDate],"yyyy-mmm")</f>
        <v>2024-May</v>
      </c>
      <c r="I714">
        <f>IF(
   COUNTIFS(
      Data[CustomerID], Data[[#This Row],[CustomerID]],
      Data[OrderDate], "&lt;" &amp; EOMONTH(Data[[#This Row],[OrderDate]], -1) + 1
   ) &gt; 0,
   1,
   0
)</f>
        <v>0</v>
      </c>
      <c r="J714">
        <f>YEAR(Data[[#This Row],[OrderDate]])</f>
        <v>2024</v>
      </c>
      <c r="K714" s="2">
        <f>MONTH(Data[[#This Row],[OrderDate]])</f>
        <v>5</v>
      </c>
    </row>
    <row r="715" spans="1:11" x14ac:dyDescent="0.25">
      <c r="A715">
        <v>1853</v>
      </c>
      <c r="B715">
        <v>508</v>
      </c>
      <c r="C715" s="1">
        <v>45417</v>
      </c>
      <c r="D715">
        <v>308.97000000000003</v>
      </c>
      <c r="E715" t="s">
        <v>20</v>
      </c>
      <c r="F715" t="s">
        <v>16</v>
      </c>
      <c r="G715">
        <f>COUNTIF(Data[CustomerID], Data[[#This Row],[CustomerID]])</f>
        <v>2</v>
      </c>
      <c r="H715" s="1" t="str">
        <f>TEXT(Data[OrderDate],"yyyy-mmm")</f>
        <v>2024-May</v>
      </c>
      <c r="I715">
        <f>IF(
   COUNTIFS(
      Data[CustomerID], Data[[#This Row],[CustomerID]],
      Data[OrderDate], "&lt;" &amp; EOMONTH(Data[[#This Row],[OrderDate]], -1) + 1
   ) &gt; 0,
   1,
   0
)</f>
        <v>1</v>
      </c>
      <c r="J715">
        <f>YEAR(Data[[#This Row],[OrderDate]])</f>
        <v>2024</v>
      </c>
      <c r="K715" s="2">
        <f>MONTH(Data[[#This Row],[OrderDate]])</f>
        <v>5</v>
      </c>
    </row>
    <row r="716" spans="1:11" x14ac:dyDescent="0.25">
      <c r="A716">
        <v>1750</v>
      </c>
      <c r="B716">
        <v>619</v>
      </c>
      <c r="C716" s="1">
        <v>45417</v>
      </c>
      <c r="D716">
        <v>80.03</v>
      </c>
      <c r="E716" t="s">
        <v>20</v>
      </c>
      <c r="F716" t="s">
        <v>16</v>
      </c>
      <c r="G716">
        <f>COUNTIF(Data[CustomerID], Data[[#This Row],[CustomerID]])</f>
        <v>2</v>
      </c>
      <c r="H716" s="1" t="str">
        <f>TEXT(Data[OrderDate],"yyyy-mmm")</f>
        <v>2024-May</v>
      </c>
      <c r="I716">
        <f>IF(
   COUNTIFS(
      Data[CustomerID], Data[[#This Row],[CustomerID]],
      Data[OrderDate], "&lt;" &amp; EOMONTH(Data[[#This Row],[OrderDate]], -1) + 1
   ) &gt; 0,
   1,
   0
)</f>
        <v>1</v>
      </c>
      <c r="J716">
        <f>YEAR(Data[[#This Row],[OrderDate]])</f>
        <v>2024</v>
      </c>
      <c r="K716" s="2">
        <f>MONTH(Data[[#This Row],[OrderDate]])</f>
        <v>5</v>
      </c>
    </row>
    <row r="717" spans="1:11" x14ac:dyDescent="0.25">
      <c r="A717">
        <v>1731</v>
      </c>
      <c r="B717">
        <v>968</v>
      </c>
      <c r="C717" s="1">
        <v>45418</v>
      </c>
      <c r="D717">
        <v>117.04</v>
      </c>
      <c r="E717" t="s">
        <v>8</v>
      </c>
      <c r="F717" t="s">
        <v>7</v>
      </c>
      <c r="G717">
        <f>COUNTIF(Data[CustomerID], Data[[#This Row],[CustomerID]])</f>
        <v>2</v>
      </c>
      <c r="H717" s="1" t="str">
        <f>TEXT(Data[OrderDate],"yyyy-mmm")</f>
        <v>2024-May</v>
      </c>
      <c r="I717">
        <f>IF(
   COUNTIFS(
      Data[CustomerID], Data[[#This Row],[CustomerID]],
      Data[OrderDate], "&lt;" &amp; EOMONTH(Data[[#This Row],[OrderDate]], -1) + 1
   ) &gt; 0,
   1,
   0
)</f>
        <v>0</v>
      </c>
      <c r="J717">
        <f>YEAR(Data[[#This Row],[OrderDate]])</f>
        <v>2024</v>
      </c>
      <c r="K717" s="2">
        <f>MONTH(Data[[#This Row],[OrderDate]])</f>
        <v>5</v>
      </c>
    </row>
    <row r="718" spans="1:11" x14ac:dyDescent="0.25">
      <c r="A718">
        <v>1167</v>
      </c>
      <c r="B718">
        <v>711</v>
      </c>
      <c r="C718" s="1">
        <v>45419</v>
      </c>
      <c r="D718">
        <v>295.31</v>
      </c>
      <c r="E718" t="s">
        <v>6</v>
      </c>
      <c r="F718" t="s">
        <v>19</v>
      </c>
      <c r="G718">
        <f>COUNTIF(Data[CustomerID], Data[[#This Row],[CustomerID]])</f>
        <v>2</v>
      </c>
      <c r="H718" s="1" t="str">
        <f>TEXT(Data[OrderDate],"yyyy-mmm")</f>
        <v>2024-May</v>
      </c>
      <c r="I718">
        <f>IF(
   COUNTIFS(
      Data[CustomerID], Data[[#This Row],[CustomerID]],
      Data[OrderDate], "&lt;" &amp; EOMONTH(Data[[#This Row],[OrderDate]], -1) + 1
   ) &gt; 0,
   1,
   0
)</f>
        <v>1</v>
      </c>
      <c r="J718">
        <f>YEAR(Data[[#This Row],[OrderDate]])</f>
        <v>2024</v>
      </c>
      <c r="K718" s="2">
        <f>MONTH(Data[[#This Row],[OrderDate]])</f>
        <v>5</v>
      </c>
    </row>
    <row r="719" spans="1:11" x14ac:dyDescent="0.25">
      <c r="A719">
        <v>1216</v>
      </c>
      <c r="B719">
        <v>772</v>
      </c>
      <c r="C719" s="1">
        <v>45419</v>
      </c>
      <c r="D719">
        <v>157.81</v>
      </c>
      <c r="E719" t="s">
        <v>9</v>
      </c>
      <c r="F719" t="s">
        <v>19</v>
      </c>
      <c r="G719">
        <f>COUNTIF(Data[CustomerID], Data[[#This Row],[CustomerID]])</f>
        <v>3</v>
      </c>
      <c r="H719" s="1" t="str">
        <f>TEXT(Data[OrderDate],"yyyy-mmm")</f>
        <v>2024-May</v>
      </c>
      <c r="I719">
        <f>IF(
   COUNTIFS(
      Data[CustomerID], Data[[#This Row],[CustomerID]],
      Data[OrderDate], "&lt;" &amp; EOMONTH(Data[[#This Row],[OrderDate]], -1) + 1
   ) &gt; 0,
   1,
   0
)</f>
        <v>1</v>
      </c>
      <c r="J719">
        <f>YEAR(Data[[#This Row],[OrderDate]])</f>
        <v>2024</v>
      </c>
      <c r="K719" s="2">
        <f>MONTH(Data[[#This Row],[OrderDate]])</f>
        <v>5</v>
      </c>
    </row>
    <row r="720" spans="1:11" x14ac:dyDescent="0.25">
      <c r="A720">
        <v>1664</v>
      </c>
      <c r="B720">
        <v>557</v>
      </c>
      <c r="C720" s="1">
        <v>45420</v>
      </c>
      <c r="D720">
        <v>117.78</v>
      </c>
      <c r="E720" t="s">
        <v>9</v>
      </c>
      <c r="F720" t="s">
        <v>16</v>
      </c>
      <c r="G720">
        <f>COUNTIF(Data[CustomerID], Data[[#This Row],[CustomerID]])</f>
        <v>1</v>
      </c>
      <c r="H720" s="1" t="str">
        <f>TEXT(Data[OrderDate],"yyyy-mmm")</f>
        <v>2024-May</v>
      </c>
      <c r="I720">
        <f>IF(
   COUNTIFS(
      Data[CustomerID], Data[[#This Row],[CustomerID]],
      Data[OrderDate], "&lt;" &amp; EOMONTH(Data[[#This Row],[OrderDate]], -1) + 1
   ) &gt; 0,
   1,
   0
)</f>
        <v>0</v>
      </c>
      <c r="J720">
        <f>YEAR(Data[[#This Row],[OrderDate]])</f>
        <v>2024</v>
      </c>
      <c r="K720" s="2">
        <f>MONTH(Data[[#This Row],[OrderDate]])</f>
        <v>5</v>
      </c>
    </row>
    <row r="721" spans="1:11" x14ac:dyDescent="0.25">
      <c r="A721">
        <v>1093</v>
      </c>
      <c r="B721">
        <v>652</v>
      </c>
      <c r="C721" s="1">
        <v>45423</v>
      </c>
      <c r="D721">
        <v>66.73</v>
      </c>
      <c r="E721" t="s">
        <v>15</v>
      </c>
      <c r="F721" t="s">
        <v>12</v>
      </c>
      <c r="G721">
        <f>COUNTIF(Data[CustomerID], Data[[#This Row],[CustomerID]])</f>
        <v>1</v>
      </c>
      <c r="H721" s="1" t="str">
        <f>TEXT(Data[OrderDate],"yyyy-mmm")</f>
        <v>2024-May</v>
      </c>
      <c r="I721">
        <f>IF(
   COUNTIFS(
      Data[CustomerID], Data[[#This Row],[CustomerID]],
      Data[OrderDate], "&lt;" &amp; EOMONTH(Data[[#This Row],[OrderDate]], -1) + 1
   ) &gt; 0,
   1,
   0
)</f>
        <v>0</v>
      </c>
      <c r="J721">
        <f>YEAR(Data[[#This Row],[OrderDate]])</f>
        <v>2024</v>
      </c>
      <c r="K721" s="2">
        <f>MONTH(Data[[#This Row],[OrderDate]])</f>
        <v>5</v>
      </c>
    </row>
    <row r="722" spans="1:11" x14ac:dyDescent="0.25">
      <c r="A722">
        <v>1426</v>
      </c>
      <c r="B722">
        <v>705</v>
      </c>
      <c r="C722" s="1">
        <v>45423</v>
      </c>
      <c r="D722">
        <v>105.45</v>
      </c>
      <c r="E722" t="s">
        <v>15</v>
      </c>
      <c r="F722" t="s">
        <v>16</v>
      </c>
      <c r="G722">
        <f>COUNTIF(Data[CustomerID], Data[[#This Row],[CustomerID]])</f>
        <v>1</v>
      </c>
      <c r="H722" s="1" t="str">
        <f>TEXT(Data[OrderDate],"yyyy-mmm")</f>
        <v>2024-May</v>
      </c>
      <c r="I722">
        <f>IF(
   COUNTIFS(
      Data[CustomerID], Data[[#This Row],[CustomerID]],
      Data[OrderDate], "&lt;" &amp; EOMONTH(Data[[#This Row],[OrderDate]], -1) + 1
   ) &gt; 0,
   1,
   0
)</f>
        <v>0</v>
      </c>
      <c r="J722">
        <f>YEAR(Data[[#This Row],[OrderDate]])</f>
        <v>2024</v>
      </c>
      <c r="K722" s="2">
        <f>MONTH(Data[[#This Row],[OrderDate]])</f>
        <v>5</v>
      </c>
    </row>
    <row r="723" spans="1:11" x14ac:dyDescent="0.25">
      <c r="A723">
        <v>1246</v>
      </c>
      <c r="B723">
        <v>638</v>
      </c>
      <c r="C723" s="1">
        <v>45424</v>
      </c>
      <c r="D723">
        <v>190.75</v>
      </c>
      <c r="E723" t="s">
        <v>13</v>
      </c>
      <c r="F723" t="s">
        <v>19</v>
      </c>
      <c r="G723">
        <f>COUNTIF(Data[CustomerID], Data[[#This Row],[CustomerID]])</f>
        <v>2</v>
      </c>
      <c r="H723" s="1" t="str">
        <f>TEXT(Data[OrderDate],"yyyy-mmm")</f>
        <v>2024-May</v>
      </c>
      <c r="I723">
        <f>IF(
   COUNTIFS(
      Data[CustomerID], Data[[#This Row],[CustomerID]],
      Data[OrderDate], "&lt;" &amp; EOMONTH(Data[[#This Row],[OrderDate]], -1) + 1
   ) &gt; 0,
   1,
   0
)</f>
        <v>1</v>
      </c>
      <c r="J723">
        <f>YEAR(Data[[#This Row],[OrderDate]])</f>
        <v>2024</v>
      </c>
      <c r="K723" s="2">
        <f>MONTH(Data[[#This Row],[OrderDate]])</f>
        <v>5</v>
      </c>
    </row>
    <row r="724" spans="1:11" x14ac:dyDescent="0.25">
      <c r="A724">
        <v>1324</v>
      </c>
      <c r="B724">
        <v>683</v>
      </c>
      <c r="C724" s="1">
        <v>45424</v>
      </c>
      <c r="D724">
        <v>108.87</v>
      </c>
      <c r="E724" t="s">
        <v>17</v>
      </c>
      <c r="F724" t="s">
        <v>12</v>
      </c>
      <c r="G724">
        <f>COUNTIF(Data[CustomerID], Data[[#This Row],[CustomerID]])</f>
        <v>1</v>
      </c>
      <c r="H724" s="1" t="str">
        <f>TEXT(Data[OrderDate],"yyyy-mmm")</f>
        <v>2024-May</v>
      </c>
      <c r="I724">
        <f>IF(
   COUNTIFS(
      Data[CustomerID], Data[[#This Row],[CustomerID]],
      Data[OrderDate], "&lt;" &amp; EOMONTH(Data[[#This Row],[OrderDate]], -1) + 1
   ) &gt; 0,
   1,
   0
)</f>
        <v>0</v>
      </c>
      <c r="J724">
        <f>YEAR(Data[[#This Row],[OrderDate]])</f>
        <v>2024</v>
      </c>
      <c r="K724" s="2">
        <f>MONTH(Data[[#This Row],[OrderDate]])</f>
        <v>5</v>
      </c>
    </row>
    <row r="725" spans="1:11" x14ac:dyDescent="0.25">
      <c r="A725">
        <v>1325</v>
      </c>
      <c r="B725">
        <v>326</v>
      </c>
      <c r="C725" s="1">
        <v>45426</v>
      </c>
      <c r="D725">
        <v>339.54</v>
      </c>
      <c r="E725" t="s">
        <v>13</v>
      </c>
      <c r="F725" t="s">
        <v>10</v>
      </c>
      <c r="G725">
        <f>COUNTIF(Data[CustomerID], Data[[#This Row],[CustomerID]])</f>
        <v>1</v>
      </c>
      <c r="H725" s="1" t="str">
        <f>TEXT(Data[OrderDate],"yyyy-mmm")</f>
        <v>2024-May</v>
      </c>
      <c r="I725">
        <f>IF(
   COUNTIFS(
      Data[CustomerID], Data[[#This Row],[CustomerID]],
      Data[OrderDate], "&lt;" &amp; EOMONTH(Data[[#This Row],[OrderDate]], -1) + 1
   ) &gt; 0,
   1,
   0
)</f>
        <v>0</v>
      </c>
      <c r="J725">
        <f>YEAR(Data[[#This Row],[OrderDate]])</f>
        <v>2024</v>
      </c>
      <c r="K725" s="2">
        <f>MONTH(Data[[#This Row],[OrderDate]])</f>
        <v>5</v>
      </c>
    </row>
    <row r="726" spans="1:11" x14ac:dyDescent="0.25">
      <c r="A726">
        <v>1961</v>
      </c>
      <c r="B726">
        <v>510</v>
      </c>
      <c r="C726" s="1">
        <v>45426</v>
      </c>
      <c r="D726">
        <v>199.23</v>
      </c>
      <c r="E726" t="s">
        <v>15</v>
      </c>
      <c r="F726" t="s">
        <v>12</v>
      </c>
      <c r="G726">
        <f>COUNTIF(Data[CustomerID], Data[[#This Row],[CustomerID]])</f>
        <v>1</v>
      </c>
      <c r="H726" s="1" t="str">
        <f>TEXT(Data[OrderDate],"yyyy-mmm")</f>
        <v>2024-May</v>
      </c>
      <c r="I726">
        <f>IF(
   COUNTIFS(
      Data[CustomerID], Data[[#This Row],[CustomerID]],
      Data[OrderDate], "&lt;" &amp; EOMONTH(Data[[#This Row],[OrderDate]], -1) + 1
   ) &gt; 0,
   1,
   0
)</f>
        <v>0</v>
      </c>
      <c r="J726">
        <f>YEAR(Data[[#This Row],[OrderDate]])</f>
        <v>2024</v>
      </c>
      <c r="K726" s="2">
        <f>MONTH(Data[[#This Row],[OrderDate]])</f>
        <v>5</v>
      </c>
    </row>
    <row r="727" spans="1:11" x14ac:dyDescent="0.25">
      <c r="A727">
        <v>1035</v>
      </c>
      <c r="B727">
        <v>537</v>
      </c>
      <c r="C727" s="1">
        <v>45426</v>
      </c>
      <c r="D727">
        <v>402.05</v>
      </c>
      <c r="E727" t="s">
        <v>8</v>
      </c>
      <c r="F727" t="s">
        <v>16</v>
      </c>
      <c r="G727">
        <f>COUNTIF(Data[CustomerID], Data[[#This Row],[CustomerID]])</f>
        <v>2</v>
      </c>
      <c r="H727" s="1" t="str">
        <f>TEXT(Data[OrderDate],"yyyy-mmm")</f>
        <v>2024-May</v>
      </c>
      <c r="I727">
        <f>IF(
   COUNTIFS(
      Data[CustomerID], Data[[#This Row],[CustomerID]],
      Data[OrderDate], "&lt;" &amp; EOMONTH(Data[[#This Row],[OrderDate]], -1) + 1
   ) &gt; 0,
   1,
   0
)</f>
        <v>1</v>
      </c>
      <c r="J727">
        <f>YEAR(Data[[#This Row],[OrderDate]])</f>
        <v>2024</v>
      </c>
      <c r="K727" s="2">
        <f>MONTH(Data[[#This Row],[OrderDate]])</f>
        <v>5</v>
      </c>
    </row>
    <row r="728" spans="1:11" x14ac:dyDescent="0.25">
      <c r="A728">
        <v>1459</v>
      </c>
      <c r="B728">
        <v>432</v>
      </c>
      <c r="C728" s="1">
        <v>45427</v>
      </c>
      <c r="D728">
        <v>413.47</v>
      </c>
      <c r="E728" t="s">
        <v>6</v>
      </c>
      <c r="F728" t="s">
        <v>10</v>
      </c>
      <c r="G728">
        <f>COUNTIF(Data[CustomerID], Data[[#This Row],[CustomerID]])</f>
        <v>2</v>
      </c>
      <c r="H728" s="1" t="str">
        <f>TEXT(Data[OrderDate],"yyyy-mmm")</f>
        <v>2024-May</v>
      </c>
      <c r="I728">
        <f>IF(
   COUNTIFS(
      Data[CustomerID], Data[[#This Row],[CustomerID]],
      Data[OrderDate], "&lt;" &amp; EOMONTH(Data[[#This Row],[OrderDate]], -1) + 1
   ) &gt; 0,
   1,
   0
)</f>
        <v>1</v>
      </c>
      <c r="J728">
        <f>YEAR(Data[[#This Row],[OrderDate]])</f>
        <v>2024</v>
      </c>
      <c r="K728" s="2">
        <f>MONTH(Data[[#This Row],[OrderDate]])</f>
        <v>5</v>
      </c>
    </row>
    <row r="729" spans="1:11" x14ac:dyDescent="0.25">
      <c r="A729">
        <v>1487</v>
      </c>
      <c r="B729">
        <v>626</v>
      </c>
      <c r="C729" s="1">
        <v>45427</v>
      </c>
      <c r="D729">
        <v>406.82</v>
      </c>
      <c r="E729" t="s">
        <v>17</v>
      </c>
      <c r="F729" t="s">
        <v>18</v>
      </c>
      <c r="G729">
        <f>COUNTIF(Data[CustomerID], Data[[#This Row],[CustomerID]])</f>
        <v>1</v>
      </c>
      <c r="H729" s="1" t="str">
        <f>TEXT(Data[OrderDate],"yyyy-mmm")</f>
        <v>2024-May</v>
      </c>
      <c r="I729">
        <f>IF(
   COUNTIFS(
      Data[CustomerID], Data[[#This Row],[CustomerID]],
      Data[OrderDate], "&lt;" &amp; EOMONTH(Data[[#This Row],[OrderDate]], -1) + 1
   ) &gt; 0,
   1,
   0
)</f>
        <v>0</v>
      </c>
      <c r="J729">
        <f>YEAR(Data[[#This Row],[OrderDate]])</f>
        <v>2024</v>
      </c>
      <c r="K729" s="2">
        <f>MONTH(Data[[#This Row],[OrderDate]])</f>
        <v>5</v>
      </c>
    </row>
    <row r="730" spans="1:11" x14ac:dyDescent="0.25">
      <c r="A730">
        <v>1823</v>
      </c>
      <c r="B730">
        <v>997</v>
      </c>
      <c r="C730" s="1">
        <v>45427</v>
      </c>
      <c r="D730">
        <v>45.69</v>
      </c>
      <c r="E730" t="s">
        <v>8</v>
      </c>
      <c r="F730" t="s">
        <v>7</v>
      </c>
      <c r="G730">
        <f>COUNTIF(Data[CustomerID], Data[[#This Row],[CustomerID]])</f>
        <v>2</v>
      </c>
      <c r="H730" s="1" t="str">
        <f>TEXT(Data[OrderDate],"yyyy-mmm")</f>
        <v>2024-May</v>
      </c>
      <c r="I730">
        <f>IF(
   COUNTIFS(
      Data[CustomerID], Data[[#This Row],[CustomerID]],
      Data[OrderDate], "&lt;" &amp; EOMONTH(Data[[#This Row],[OrderDate]], -1) + 1
   ) &gt; 0,
   1,
   0
)</f>
        <v>1</v>
      </c>
      <c r="J730">
        <f>YEAR(Data[[#This Row],[OrderDate]])</f>
        <v>2024</v>
      </c>
      <c r="K730" s="2">
        <f>MONTH(Data[[#This Row],[OrderDate]])</f>
        <v>5</v>
      </c>
    </row>
    <row r="731" spans="1:11" x14ac:dyDescent="0.25">
      <c r="A731">
        <v>1517</v>
      </c>
      <c r="B731">
        <v>472</v>
      </c>
      <c r="C731" s="1">
        <v>45428</v>
      </c>
      <c r="D731">
        <v>424.77</v>
      </c>
      <c r="E731" t="s">
        <v>6</v>
      </c>
      <c r="F731" t="s">
        <v>18</v>
      </c>
      <c r="G731">
        <f>COUNTIF(Data[CustomerID], Data[[#This Row],[CustomerID]])</f>
        <v>1</v>
      </c>
      <c r="H731" s="1" t="str">
        <f>TEXT(Data[OrderDate],"yyyy-mmm")</f>
        <v>2024-May</v>
      </c>
      <c r="I731">
        <f>IF(
   COUNTIFS(
      Data[CustomerID], Data[[#This Row],[CustomerID]],
      Data[OrderDate], "&lt;" &amp; EOMONTH(Data[[#This Row],[OrderDate]], -1) + 1
   ) &gt; 0,
   1,
   0
)</f>
        <v>0</v>
      </c>
      <c r="J731">
        <f>YEAR(Data[[#This Row],[OrderDate]])</f>
        <v>2024</v>
      </c>
      <c r="K731" s="2">
        <f>MONTH(Data[[#This Row],[OrderDate]])</f>
        <v>5</v>
      </c>
    </row>
    <row r="732" spans="1:11" x14ac:dyDescent="0.25">
      <c r="A732">
        <v>1654</v>
      </c>
      <c r="B732">
        <v>207</v>
      </c>
      <c r="C732" s="1">
        <v>45429</v>
      </c>
      <c r="D732">
        <v>496.7</v>
      </c>
      <c r="E732" t="s">
        <v>20</v>
      </c>
      <c r="F732" t="s">
        <v>16</v>
      </c>
      <c r="G732">
        <f>COUNTIF(Data[CustomerID], Data[[#This Row],[CustomerID]])</f>
        <v>1</v>
      </c>
      <c r="H732" s="1" t="str">
        <f>TEXT(Data[OrderDate],"yyyy-mmm")</f>
        <v>2024-May</v>
      </c>
      <c r="I732">
        <f>IF(
   COUNTIFS(
      Data[CustomerID], Data[[#This Row],[CustomerID]],
      Data[OrderDate], "&lt;" &amp; EOMONTH(Data[[#This Row],[OrderDate]], -1) + 1
   ) &gt; 0,
   1,
   0
)</f>
        <v>0</v>
      </c>
      <c r="J732">
        <f>YEAR(Data[[#This Row],[OrderDate]])</f>
        <v>2024</v>
      </c>
      <c r="K732" s="2">
        <f>MONTH(Data[[#This Row],[OrderDate]])</f>
        <v>5</v>
      </c>
    </row>
    <row r="733" spans="1:11" x14ac:dyDescent="0.25">
      <c r="A733">
        <v>1609</v>
      </c>
      <c r="B733">
        <v>315</v>
      </c>
      <c r="C733" s="1">
        <v>45429</v>
      </c>
      <c r="D733">
        <v>93.33</v>
      </c>
      <c r="E733" t="s">
        <v>6</v>
      </c>
      <c r="F733" t="s">
        <v>14</v>
      </c>
      <c r="G733">
        <f>COUNTIF(Data[CustomerID], Data[[#This Row],[CustomerID]])</f>
        <v>1</v>
      </c>
      <c r="H733" s="1" t="str">
        <f>TEXT(Data[OrderDate],"yyyy-mmm")</f>
        <v>2024-May</v>
      </c>
      <c r="I733">
        <f>IF(
   COUNTIFS(
      Data[CustomerID], Data[[#This Row],[CustomerID]],
      Data[OrderDate], "&lt;" &amp; EOMONTH(Data[[#This Row],[OrderDate]], -1) + 1
   ) &gt; 0,
   1,
   0
)</f>
        <v>0</v>
      </c>
      <c r="J733">
        <f>YEAR(Data[[#This Row],[OrderDate]])</f>
        <v>2024</v>
      </c>
      <c r="K733" s="2">
        <f>MONTH(Data[[#This Row],[OrderDate]])</f>
        <v>5</v>
      </c>
    </row>
    <row r="734" spans="1:11" x14ac:dyDescent="0.25">
      <c r="A734">
        <v>1957</v>
      </c>
      <c r="B734">
        <v>230</v>
      </c>
      <c r="C734" s="1">
        <v>45430</v>
      </c>
      <c r="D734">
        <v>275.12</v>
      </c>
      <c r="E734" t="s">
        <v>11</v>
      </c>
      <c r="F734" t="s">
        <v>7</v>
      </c>
      <c r="G734">
        <f>COUNTIF(Data[CustomerID], Data[[#This Row],[CustomerID]])</f>
        <v>6</v>
      </c>
      <c r="H734" s="1" t="str">
        <f>TEXT(Data[OrderDate],"yyyy-mmm")</f>
        <v>2024-May</v>
      </c>
      <c r="I734">
        <f>IF(
   COUNTIFS(
      Data[CustomerID], Data[[#This Row],[CustomerID]],
      Data[OrderDate], "&lt;" &amp; EOMONTH(Data[[#This Row],[OrderDate]], -1) + 1
   ) &gt; 0,
   1,
   0
)</f>
        <v>1</v>
      </c>
      <c r="J734">
        <f>YEAR(Data[[#This Row],[OrderDate]])</f>
        <v>2024</v>
      </c>
      <c r="K734" s="2">
        <f>MONTH(Data[[#This Row],[OrderDate]])</f>
        <v>5</v>
      </c>
    </row>
    <row r="735" spans="1:11" x14ac:dyDescent="0.25">
      <c r="A735">
        <v>1047</v>
      </c>
      <c r="B735">
        <v>161</v>
      </c>
      <c r="C735" s="1">
        <v>45432</v>
      </c>
      <c r="D735">
        <v>294.41000000000003</v>
      </c>
      <c r="E735" t="s">
        <v>9</v>
      </c>
      <c r="F735" t="s">
        <v>10</v>
      </c>
      <c r="G735">
        <f>COUNTIF(Data[CustomerID], Data[[#This Row],[CustomerID]])</f>
        <v>1</v>
      </c>
      <c r="H735" s="1" t="str">
        <f>TEXT(Data[OrderDate],"yyyy-mmm")</f>
        <v>2024-May</v>
      </c>
      <c r="I735">
        <f>IF(
   COUNTIFS(
      Data[CustomerID], Data[[#This Row],[CustomerID]],
      Data[OrderDate], "&lt;" &amp; EOMONTH(Data[[#This Row],[OrderDate]], -1) + 1
   ) &gt; 0,
   1,
   0
)</f>
        <v>0</v>
      </c>
      <c r="J735">
        <f>YEAR(Data[[#This Row],[OrderDate]])</f>
        <v>2024</v>
      </c>
      <c r="K735" s="2">
        <f>MONTH(Data[[#This Row],[OrderDate]])</f>
        <v>5</v>
      </c>
    </row>
    <row r="736" spans="1:11" x14ac:dyDescent="0.25">
      <c r="A736">
        <v>1684</v>
      </c>
      <c r="B736">
        <v>538</v>
      </c>
      <c r="C736" s="1">
        <v>45432</v>
      </c>
      <c r="D736">
        <v>57.16</v>
      </c>
      <c r="E736" t="s">
        <v>15</v>
      </c>
      <c r="F736" t="s">
        <v>14</v>
      </c>
      <c r="G736">
        <f>COUNTIF(Data[CustomerID], Data[[#This Row],[CustomerID]])</f>
        <v>2</v>
      </c>
      <c r="H736" s="1" t="str">
        <f>TEXT(Data[OrderDate],"yyyy-mmm")</f>
        <v>2024-May</v>
      </c>
      <c r="I736">
        <f>IF(
   COUNTIFS(
      Data[CustomerID], Data[[#This Row],[CustomerID]],
      Data[OrderDate], "&lt;" &amp; EOMONTH(Data[[#This Row],[OrderDate]], -1) + 1
   ) &gt; 0,
   1,
   0
)</f>
        <v>1</v>
      </c>
      <c r="J736">
        <f>YEAR(Data[[#This Row],[OrderDate]])</f>
        <v>2024</v>
      </c>
      <c r="K736" s="2">
        <f>MONTH(Data[[#This Row],[OrderDate]])</f>
        <v>5</v>
      </c>
    </row>
    <row r="737" spans="1:11" x14ac:dyDescent="0.25">
      <c r="A737">
        <v>1061</v>
      </c>
      <c r="B737">
        <v>778</v>
      </c>
      <c r="C737" s="1">
        <v>45432</v>
      </c>
      <c r="D737">
        <v>211.91</v>
      </c>
      <c r="E737" t="s">
        <v>8</v>
      </c>
      <c r="F737" t="s">
        <v>12</v>
      </c>
      <c r="G737">
        <f>COUNTIF(Data[CustomerID], Data[[#This Row],[CustomerID]])</f>
        <v>1</v>
      </c>
      <c r="H737" s="1" t="str">
        <f>TEXT(Data[OrderDate],"yyyy-mmm")</f>
        <v>2024-May</v>
      </c>
      <c r="I737">
        <f>IF(
   COUNTIFS(
      Data[CustomerID], Data[[#This Row],[CustomerID]],
      Data[OrderDate], "&lt;" &amp; EOMONTH(Data[[#This Row],[OrderDate]], -1) + 1
   ) &gt; 0,
   1,
   0
)</f>
        <v>0</v>
      </c>
      <c r="J737">
        <f>YEAR(Data[[#This Row],[OrderDate]])</f>
        <v>2024</v>
      </c>
      <c r="K737" s="2">
        <f>MONTH(Data[[#This Row],[OrderDate]])</f>
        <v>5</v>
      </c>
    </row>
    <row r="738" spans="1:11" x14ac:dyDescent="0.25">
      <c r="A738">
        <v>1801</v>
      </c>
      <c r="B738">
        <v>620</v>
      </c>
      <c r="C738" s="1">
        <v>45433</v>
      </c>
      <c r="D738">
        <v>51.41</v>
      </c>
      <c r="E738" t="s">
        <v>6</v>
      </c>
      <c r="F738" t="s">
        <v>16</v>
      </c>
      <c r="G738">
        <f>COUNTIF(Data[CustomerID], Data[[#This Row],[CustomerID]])</f>
        <v>2</v>
      </c>
      <c r="H738" s="1" t="str">
        <f>TEXT(Data[OrderDate],"yyyy-mmm")</f>
        <v>2024-May</v>
      </c>
      <c r="I738">
        <f>IF(
   COUNTIFS(
      Data[CustomerID], Data[[#This Row],[CustomerID]],
      Data[OrderDate], "&lt;" &amp; EOMONTH(Data[[#This Row],[OrderDate]], -1) + 1
   ) &gt; 0,
   1,
   0
)</f>
        <v>1</v>
      </c>
      <c r="J738">
        <f>YEAR(Data[[#This Row],[OrderDate]])</f>
        <v>2024</v>
      </c>
      <c r="K738" s="2">
        <f>MONTH(Data[[#This Row],[OrderDate]])</f>
        <v>5</v>
      </c>
    </row>
    <row r="739" spans="1:11" x14ac:dyDescent="0.25">
      <c r="A739">
        <v>1347</v>
      </c>
      <c r="B739">
        <v>960</v>
      </c>
      <c r="C739" s="1">
        <v>45433</v>
      </c>
      <c r="D739">
        <v>64.52</v>
      </c>
      <c r="E739" t="s">
        <v>6</v>
      </c>
      <c r="F739" t="s">
        <v>12</v>
      </c>
      <c r="G739">
        <f>COUNTIF(Data[CustomerID], Data[[#This Row],[CustomerID]])</f>
        <v>3</v>
      </c>
      <c r="H739" s="1" t="str">
        <f>TEXT(Data[OrderDate],"yyyy-mmm")</f>
        <v>2024-May</v>
      </c>
      <c r="I739">
        <f>IF(
   COUNTIFS(
      Data[CustomerID], Data[[#This Row],[CustomerID]],
      Data[OrderDate], "&lt;" &amp; EOMONTH(Data[[#This Row],[OrderDate]], -1) + 1
   ) &gt; 0,
   1,
   0
)</f>
        <v>1</v>
      </c>
      <c r="J739">
        <f>YEAR(Data[[#This Row],[OrderDate]])</f>
        <v>2024</v>
      </c>
      <c r="K739" s="2">
        <f>MONTH(Data[[#This Row],[OrderDate]])</f>
        <v>5</v>
      </c>
    </row>
    <row r="740" spans="1:11" x14ac:dyDescent="0.25">
      <c r="A740">
        <v>1942</v>
      </c>
      <c r="B740">
        <v>83</v>
      </c>
      <c r="C740" s="1">
        <v>45434</v>
      </c>
      <c r="D740">
        <v>210.87</v>
      </c>
      <c r="E740" t="s">
        <v>8</v>
      </c>
      <c r="F740" t="s">
        <v>16</v>
      </c>
      <c r="G740">
        <f>COUNTIF(Data[CustomerID], Data[[#This Row],[CustomerID]])</f>
        <v>3</v>
      </c>
      <c r="H740" s="1" t="str">
        <f>TEXT(Data[OrderDate],"yyyy-mmm")</f>
        <v>2024-May</v>
      </c>
      <c r="I740">
        <f>IF(
   COUNTIFS(
      Data[CustomerID], Data[[#This Row],[CustomerID]],
      Data[OrderDate], "&lt;" &amp; EOMONTH(Data[[#This Row],[OrderDate]], -1) + 1
   ) &gt; 0,
   1,
   0
)</f>
        <v>1</v>
      </c>
      <c r="J740">
        <f>YEAR(Data[[#This Row],[OrderDate]])</f>
        <v>2024</v>
      </c>
      <c r="K740" s="2">
        <f>MONTH(Data[[#This Row],[OrderDate]])</f>
        <v>5</v>
      </c>
    </row>
    <row r="741" spans="1:11" x14ac:dyDescent="0.25">
      <c r="A741">
        <v>1929</v>
      </c>
      <c r="B741">
        <v>159</v>
      </c>
      <c r="C741" s="1">
        <v>45434</v>
      </c>
      <c r="D741">
        <v>48.84</v>
      </c>
      <c r="E741" t="s">
        <v>17</v>
      </c>
      <c r="F741" t="s">
        <v>10</v>
      </c>
      <c r="G741">
        <f>COUNTIF(Data[CustomerID], Data[[#This Row],[CustomerID]])</f>
        <v>1</v>
      </c>
      <c r="H741" s="1" t="str">
        <f>TEXT(Data[OrderDate],"yyyy-mmm")</f>
        <v>2024-May</v>
      </c>
      <c r="I741">
        <f>IF(
   COUNTIFS(
      Data[CustomerID], Data[[#This Row],[CustomerID]],
      Data[OrderDate], "&lt;" &amp; EOMONTH(Data[[#This Row],[OrderDate]], -1) + 1
   ) &gt; 0,
   1,
   0
)</f>
        <v>0</v>
      </c>
      <c r="J741">
        <f>YEAR(Data[[#This Row],[OrderDate]])</f>
        <v>2024</v>
      </c>
      <c r="K741" s="2">
        <f>MONTH(Data[[#This Row],[OrderDate]])</f>
        <v>5</v>
      </c>
    </row>
    <row r="742" spans="1:11" x14ac:dyDescent="0.25">
      <c r="A742">
        <v>1099</v>
      </c>
      <c r="B742">
        <v>17</v>
      </c>
      <c r="C742" s="1">
        <v>45437</v>
      </c>
      <c r="D742">
        <v>287.60000000000002</v>
      </c>
      <c r="E742" t="s">
        <v>9</v>
      </c>
      <c r="F742" t="s">
        <v>14</v>
      </c>
      <c r="G742">
        <f>COUNTIF(Data[CustomerID], Data[[#This Row],[CustomerID]])</f>
        <v>2</v>
      </c>
      <c r="H742" s="1" t="str">
        <f>TEXT(Data[OrderDate],"yyyy-mmm")</f>
        <v>2024-May</v>
      </c>
      <c r="I742">
        <f>IF(
   COUNTIFS(
      Data[CustomerID], Data[[#This Row],[CustomerID]],
      Data[OrderDate], "&lt;" &amp; EOMONTH(Data[[#This Row],[OrderDate]], -1) + 1
   ) &gt; 0,
   1,
   0
)</f>
        <v>1</v>
      </c>
      <c r="J742">
        <f>YEAR(Data[[#This Row],[OrderDate]])</f>
        <v>2024</v>
      </c>
      <c r="K742" s="2">
        <f>MONTH(Data[[#This Row],[OrderDate]])</f>
        <v>5</v>
      </c>
    </row>
    <row r="743" spans="1:11" x14ac:dyDescent="0.25">
      <c r="A743">
        <v>1676</v>
      </c>
      <c r="B743">
        <v>254</v>
      </c>
      <c r="C743" s="1">
        <v>45437</v>
      </c>
      <c r="D743">
        <v>218.28</v>
      </c>
      <c r="E743" t="s">
        <v>9</v>
      </c>
      <c r="F743" t="s">
        <v>14</v>
      </c>
      <c r="G743">
        <f>COUNTIF(Data[CustomerID], Data[[#This Row],[CustomerID]])</f>
        <v>1</v>
      </c>
      <c r="H743" s="1" t="str">
        <f>TEXT(Data[OrderDate],"yyyy-mmm")</f>
        <v>2024-May</v>
      </c>
      <c r="I743">
        <f>IF(
   COUNTIFS(
      Data[CustomerID], Data[[#This Row],[CustomerID]],
      Data[OrderDate], "&lt;" &amp; EOMONTH(Data[[#This Row],[OrderDate]], -1) + 1
   ) &gt; 0,
   1,
   0
)</f>
        <v>0</v>
      </c>
      <c r="J743">
        <f>YEAR(Data[[#This Row],[OrderDate]])</f>
        <v>2024</v>
      </c>
      <c r="K743" s="2">
        <f>MONTH(Data[[#This Row],[OrderDate]])</f>
        <v>5</v>
      </c>
    </row>
    <row r="744" spans="1:11" x14ac:dyDescent="0.25">
      <c r="A744">
        <v>1830</v>
      </c>
      <c r="B744">
        <v>601</v>
      </c>
      <c r="C744" s="1">
        <v>45438</v>
      </c>
      <c r="D744">
        <v>31.66</v>
      </c>
      <c r="E744" t="s">
        <v>13</v>
      </c>
      <c r="F744" t="s">
        <v>19</v>
      </c>
      <c r="G744">
        <f>COUNTIF(Data[CustomerID], Data[[#This Row],[CustomerID]])</f>
        <v>1</v>
      </c>
      <c r="H744" s="1" t="str">
        <f>TEXT(Data[OrderDate],"yyyy-mmm")</f>
        <v>2024-May</v>
      </c>
      <c r="I744">
        <f>IF(
   COUNTIFS(
      Data[CustomerID], Data[[#This Row],[CustomerID]],
      Data[OrderDate], "&lt;" &amp; EOMONTH(Data[[#This Row],[OrderDate]], -1) + 1
   ) &gt; 0,
   1,
   0
)</f>
        <v>0</v>
      </c>
      <c r="J744">
        <f>YEAR(Data[[#This Row],[OrderDate]])</f>
        <v>2024</v>
      </c>
      <c r="K744" s="2">
        <f>MONTH(Data[[#This Row],[OrderDate]])</f>
        <v>5</v>
      </c>
    </row>
    <row r="745" spans="1:11" x14ac:dyDescent="0.25">
      <c r="A745">
        <v>1295</v>
      </c>
      <c r="B745">
        <v>115</v>
      </c>
      <c r="C745" s="1">
        <v>45439</v>
      </c>
      <c r="D745">
        <v>205.49</v>
      </c>
      <c r="E745" t="s">
        <v>6</v>
      </c>
      <c r="F745" t="s">
        <v>14</v>
      </c>
      <c r="G745">
        <f>COUNTIF(Data[CustomerID], Data[[#This Row],[CustomerID]])</f>
        <v>1</v>
      </c>
      <c r="H745" s="1" t="str">
        <f>TEXT(Data[OrderDate],"yyyy-mmm")</f>
        <v>2024-May</v>
      </c>
      <c r="I745">
        <f>IF(
   COUNTIFS(
      Data[CustomerID], Data[[#This Row],[CustomerID]],
      Data[OrderDate], "&lt;" &amp; EOMONTH(Data[[#This Row],[OrderDate]], -1) + 1
   ) &gt; 0,
   1,
   0
)</f>
        <v>0</v>
      </c>
      <c r="J745">
        <f>YEAR(Data[[#This Row],[OrderDate]])</f>
        <v>2024</v>
      </c>
      <c r="K745" s="2">
        <f>MONTH(Data[[#This Row],[OrderDate]])</f>
        <v>5</v>
      </c>
    </row>
    <row r="746" spans="1:11" x14ac:dyDescent="0.25">
      <c r="A746">
        <v>1698</v>
      </c>
      <c r="B746">
        <v>283</v>
      </c>
      <c r="C746" s="1">
        <v>45439</v>
      </c>
      <c r="D746">
        <v>459.29</v>
      </c>
      <c r="E746" t="s">
        <v>6</v>
      </c>
      <c r="F746" t="s">
        <v>14</v>
      </c>
      <c r="G746">
        <f>COUNTIF(Data[CustomerID], Data[[#This Row],[CustomerID]])</f>
        <v>3</v>
      </c>
      <c r="H746" s="1" t="str">
        <f>TEXT(Data[OrderDate],"yyyy-mmm")</f>
        <v>2024-May</v>
      </c>
      <c r="I746">
        <f>IF(
   COUNTIFS(
      Data[CustomerID], Data[[#This Row],[CustomerID]],
      Data[OrderDate], "&lt;" &amp; EOMONTH(Data[[#This Row],[OrderDate]], -1) + 1
   ) &gt; 0,
   1,
   0
)</f>
        <v>0</v>
      </c>
      <c r="J746">
        <f>YEAR(Data[[#This Row],[OrderDate]])</f>
        <v>2024</v>
      </c>
      <c r="K746" s="2">
        <f>MONTH(Data[[#This Row],[OrderDate]])</f>
        <v>5</v>
      </c>
    </row>
    <row r="747" spans="1:11" x14ac:dyDescent="0.25">
      <c r="A747">
        <v>1758</v>
      </c>
      <c r="B747">
        <v>526</v>
      </c>
      <c r="C747" s="1">
        <v>45440</v>
      </c>
      <c r="D747">
        <v>117.35</v>
      </c>
      <c r="E747" t="s">
        <v>8</v>
      </c>
      <c r="F747" t="s">
        <v>10</v>
      </c>
      <c r="G747">
        <f>COUNTIF(Data[CustomerID], Data[[#This Row],[CustomerID]])</f>
        <v>2</v>
      </c>
      <c r="H747" s="1" t="str">
        <f>TEXT(Data[OrderDate],"yyyy-mmm")</f>
        <v>2024-May</v>
      </c>
      <c r="I747">
        <f>IF(
   COUNTIFS(
      Data[CustomerID], Data[[#This Row],[CustomerID]],
      Data[OrderDate], "&lt;" &amp; EOMONTH(Data[[#This Row],[OrderDate]], -1) + 1
   ) &gt; 0,
   1,
   0
)</f>
        <v>1</v>
      </c>
      <c r="J747">
        <f>YEAR(Data[[#This Row],[OrderDate]])</f>
        <v>2024</v>
      </c>
      <c r="K747" s="2">
        <f>MONTH(Data[[#This Row],[OrderDate]])</f>
        <v>5</v>
      </c>
    </row>
    <row r="748" spans="1:11" x14ac:dyDescent="0.25">
      <c r="A748">
        <v>1540</v>
      </c>
      <c r="B748">
        <v>209</v>
      </c>
      <c r="C748" s="1">
        <v>45442</v>
      </c>
      <c r="D748">
        <v>49.79</v>
      </c>
      <c r="E748" t="s">
        <v>11</v>
      </c>
      <c r="F748" t="s">
        <v>19</v>
      </c>
      <c r="G748">
        <f>COUNTIF(Data[CustomerID], Data[[#This Row],[CustomerID]])</f>
        <v>1</v>
      </c>
      <c r="H748" s="1" t="str">
        <f>TEXT(Data[OrderDate],"yyyy-mmm")</f>
        <v>2024-May</v>
      </c>
      <c r="I748">
        <f>IF(
   COUNTIFS(
      Data[CustomerID], Data[[#This Row],[CustomerID]],
      Data[OrderDate], "&lt;" &amp; EOMONTH(Data[[#This Row],[OrderDate]], -1) + 1
   ) &gt; 0,
   1,
   0
)</f>
        <v>0</v>
      </c>
      <c r="J748">
        <f>YEAR(Data[[#This Row],[OrderDate]])</f>
        <v>2024</v>
      </c>
      <c r="K748" s="2">
        <f>MONTH(Data[[#This Row],[OrderDate]])</f>
        <v>5</v>
      </c>
    </row>
    <row r="749" spans="1:11" x14ac:dyDescent="0.25">
      <c r="A749">
        <v>1612</v>
      </c>
      <c r="B749">
        <v>706</v>
      </c>
      <c r="C749" s="1">
        <v>45442</v>
      </c>
      <c r="D749">
        <v>284.95</v>
      </c>
      <c r="E749" t="s">
        <v>11</v>
      </c>
      <c r="F749" t="s">
        <v>10</v>
      </c>
      <c r="G749">
        <f>COUNTIF(Data[CustomerID], Data[[#This Row],[CustomerID]])</f>
        <v>4</v>
      </c>
      <c r="H749" s="1" t="str">
        <f>TEXT(Data[OrderDate],"yyyy-mmm")</f>
        <v>2024-May</v>
      </c>
      <c r="I749">
        <f>IF(
   COUNTIFS(
      Data[CustomerID], Data[[#This Row],[CustomerID]],
      Data[OrderDate], "&lt;" &amp; EOMONTH(Data[[#This Row],[OrderDate]], -1) + 1
   ) &gt; 0,
   1,
   0
)</f>
        <v>1</v>
      </c>
      <c r="J749">
        <f>YEAR(Data[[#This Row],[OrderDate]])</f>
        <v>2024</v>
      </c>
      <c r="K749" s="2">
        <f>MONTH(Data[[#This Row],[OrderDate]])</f>
        <v>5</v>
      </c>
    </row>
    <row r="750" spans="1:11" x14ac:dyDescent="0.25">
      <c r="A750">
        <v>1142</v>
      </c>
      <c r="B750">
        <v>937</v>
      </c>
      <c r="C750" s="1">
        <v>45442</v>
      </c>
      <c r="D750">
        <v>193.9</v>
      </c>
      <c r="E750" t="s">
        <v>11</v>
      </c>
      <c r="F750" t="s">
        <v>7</v>
      </c>
      <c r="G750">
        <f>COUNTIF(Data[CustomerID], Data[[#This Row],[CustomerID]])</f>
        <v>2</v>
      </c>
      <c r="H750" s="1" t="str">
        <f>TEXT(Data[OrderDate],"yyyy-mmm")</f>
        <v>2024-May</v>
      </c>
      <c r="I750">
        <f>IF(
   COUNTIFS(
      Data[CustomerID], Data[[#This Row],[CustomerID]],
      Data[OrderDate], "&lt;" &amp; EOMONTH(Data[[#This Row],[OrderDate]], -1) + 1
   ) &gt; 0,
   1,
   0
)</f>
        <v>0</v>
      </c>
      <c r="J750">
        <f>YEAR(Data[[#This Row],[OrderDate]])</f>
        <v>2024</v>
      </c>
      <c r="K750" s="2">
        <f>MONTH(Data[[#This Row],[OrderDate]])</f>
        <v>5</v>
      </c>
    </row>
    <row r="751" spans="1:11" x14ac:dyDescent="0.25">
      <c r="A751">
        <v>1928</v>
      </c>
      <c r="B751">
        <v>344</v>
      </c>
      <c r="C751" s="1">
        <v>45443</v>
      </c>
      <c r="D751">
        <v>223.99</v>
      </c>
      <c r="E751" t="s">
        <v>11</v>
      </c>
      <c r="F751" t="s">
        <v>18</v>
      </c>
      <c r="G751">
        <f>COUNTIF(Data[CustomerID], Data[[#This Row],[CustomerID]])</f>
        <v>5</v>
      </c>
      <c r="H751" s="1" t="str">
        <f>TEXT(Data[OrderDate],"yyyy-mmm")</f>
        <v>2024-May</v>
      </c>
      <c r="I751">
        <f>IF(
   COUNTIFS(
      Data[CustomerID], Data[[#This Row],[CustomerID]],
      Data[OrderDate], "&lt;" &amp; EOMONTH(Data[[#This Row],[OrderDate]], -1) + 1
   ) &gt; 0,
   1,
   0
)</f>
        <v>1</v>
      </c>
      <c r="J751">
        <f>YEAR(Data[[#This Row],[OrderDate]])</f>
        <v>2024</v>
      </c>
      <c r="K751" s="2">
        <f>MONTH(Data[[#This Row],[OrderDate]])</f>
        <v>5</v>
      </c>
    </row>
    <row r="752" spans="1:11" x14ac:dyDescent="0.25">
      <c r="A752">
        <v>1879</v>
      </c>
      <c r="B752">
        <v>780</v>
      </c>
      <c r="C752" s="1">
        <v>45443</v>
      </c>
      <c r="D752">
        <v>343.46</v>
      </c>
      <c r="E752" t="s">
        <v>13</v>
      </c>
      <c r="F752" t="s">
        <v>14</v>
      </c>
      <c r="G752">
        <f>COUNTIF(Data[CustomerID], Data[[#This Row],[CustomerID]])</f>
        <v>1</v>
      </c>
      <c r="H752" s="1" t="str">
        <f>TEXT(Data[OrderDate],"yyyy-mmm")</f>
        <v>2024-May</v>
      </c>
      <c r="I752">
        <f>IF(
   COUNTIFS(
      Data[CustomerID], Data[[#This Row],[CustomerID]],
      Data[OrderDate], "&lt;" &amp; EOMONTH(Data[[#This Row],[OrderDate]], -1) + 1
   ) &gt; 0,
   1,
   0
)</f>
        <v>0</v>
      </c>
      <c r="J752">
        <f>YEAR(Data[[#This Row],[OrderDate]])</f>
        <v>2024</v>
      </c>
      <c r="K752" s="2">
        <f>MONTH(Data[[#This Row],[OrderDate]])</f>
        <v>5</v>
      </c>
    </row>
    <row r="753" spans="1:11" x14ac:dyDescent="0.25">
      <c r="A753">
        <v>1130</v>
      </c>
      <c r="B753">
        <v>20</v>
      </c>
      <c r="C753" s="1">
        <v>45444</v>
      </c>
      <c r="D753">
        <v>109.12</v>
      </c>
      <c r="E753" t="s">
        <v>13</v>
      </c>
      <c r="F753" t="s">
        <v>14</v>
      </c>
      <c r="G753">
        <f>COUNTIF(Data[CustomerID], Data[[#This Row],[CustomerID]])</f>
        <v>3</v>
      </c>
      <c r="H753" s="1" t="str">
        <f>TEXT(Data[OrderDate],"yyyy-mmm")</f>
        <v>2024-Jun</v>
      </c>
      <c r="I753">
        <f>IF(
   COUNTIFS(
      Data[CustomerID], Data[[#This Row],[CustomerID]],
      Data[OrderDate], "&lt;" &amp; EOMONTH(Data[[#This Row],[OrderDate]], -1) + 1
   ) &gt; 0,
   1,
   0
)</f>
        <v>1</v>
      </c>
      <c r="J753">
        <f>YEAR(Data[[#This Row],[OrderDate]])</f>
        <v>2024</v>
      </c>
      <c r="K753" s="2">
        <f>MONTH(Data[[#This Row],[OrderDate]])</f>
        <v>6</v>
      </c>
    </row>
    <row r="754" spans="1:11" x14ac:dyDescent="0.25">
      <c r="A754">
        <v>1574</v>
      </c>
      <c r="B754">
        <v>195</v>
      </c>
      <c r="C754" s="1">
        <v>45444</v>
      </c>
      <c r="D754">
        <v>398.78</v>
      </c>
      <c r="E754" t="s">
        <v>13</v>
      </c>
      <c r="F754" t="s">
        <v>18</v>
      </c>
      <c r="G754">
        <f>COUNTIF(Data[CustomerID], Data[[#This Row],[CustomerID]])</f>
        <v>2</v>
      </c>
      <c r="H754" s="1" t="str">
        <f>TEXT(Data[OrderDate],"yyyy-mmm")</f>
        <v>2024-Jun</v>
      </c>
      <c r="I754">
        <f>IF(
   COUNTIFS(
      Data[CustomerID], Data[[#This Row],[CustomerID]],
      Data[OrderDate], "&lt;" &amp; EOMONTH(Data[[#This Row],[OrderDate]], -1) + 1
   ) &gt; 0,
   1,
   0
)</f>
        <v>0</v>
      </c>
      <c r="J754">
        <f>YEAR(Data[[#This Row],[OrderDate]])</f>
        <v>2024</v>
      </c>
      <c r="K754" s="2">
        <f>MONTH(Data[[#This Row],[OrderDate]])</f>
        <v>6</v>
      </c>
    </row>
    <row r="755" spans="1:11" x14ac:dyDescent="0.25">
      <c r="A755">
        <v>1441</v>
      </c>
      <c r="B755">
        <v>680</v>
      </c>
      <c r="C755" s="1">
        <v>45445</v>
      </c>
      <c r="D755">
        <v>349.23</v>
      </c>
      <c r="E755" t="s">
        <v>6</v>
      </c>
      <c r="F755" t="s">
        <v>19</v>
      </c>
      <c r="G755">
        <f>COUNTIF(Data[CustomerID], Data[[#This Row],[CustomerID]])</f>
        <v>2</v>
      </c>
      <c r="H755" s="1" t="str">
        <f>TEXT(Data[OrderDate],"yyyy-mmm")</f>
        <v>2024-Jun</v>
      </c>
      <c r="I755">
        <f>IF(
   COUNTIFS(
      Data[CustomerID], Data[[#This Row],[CustomerID]],
      Data[OrderDate], "&lt;" &amp; EOMONTH(Data[[#This Row],[OrderDate]], -1) + 1
   ) &gt; 0,
   1,
   0
)</f>
        <v>1</v>
      </c>
      <c r="J755">
        <f>YEAR(Data[[#This Row],[OrderDate]])</f>
        <v>2024</v>
      </c>
      <c r="K755" s="2">
        <f>MONTH(Data[[#This Row],[OrderDate]])</f>
        <v>6</v>
      </c>
    </row>
    <row r="756" spans="1:11" x14ac:dyDescent="0.25">
      <c r="A756">
        <v>1821</v>
      </c>
      <c r="B756">
        <v>96</v>
      </c>
      <c r="C756" s="1">
        <v>45446</v>
      </c>
      <c r="D756">
        <v>397.51</v>
      </c>
      <c r="E756" t="s">
        <v>6</v>
      </c>
      <c r="F756" t="s">
        <v>19</v>
      </c>
      <c r="G756">
        <f>COUNTIF(Data[CustomerID], Data[[#This Row],[CustomerID]])</f>
        <v>2</v>
      </c>
      <c r="H756" s="1" t="str">
        <f>TEXT(Data[OrderDate],"yyyy-mmm")</f>
        <v>2024-Jun</v>
      </c>
      <c r="I756">
        <f>IF(
   COUNTIFS(
      Data[CustomerID], Data[[#This Row],[CustomerID]],
      Data[OrderDate], "&lt;" &amp; EOMONTH(Data[[#This Row],[OrderDate]], -1) + 1
   ) &gt; 0,
   1,
   0
)</f>
        <v>1</v>
      </c>
      <c r="J756">
        <f>YEAR(Data[[#This Row],[OrderDate]])</f>
        <v>2024</v>
      </c>
      <c r="K756" s="2">
        <f>MONTH(Data[[#This Row],[OrderDate]])</f>
        <v>6</v>
      </c>
    </row>
    <row r="757" spans="1:11" x14ac:dyDescent="0.25">
      <c r="A757">
        <v>1200</v>
      </c>
      <c r="B757">
        <v>977</v>
      </c>
      <c r="C757" s="1">
        <v>45446</v>
      </c>
      <c r="D757">
        <v>314.95999999999998</v>
      </c>
      <c r="E757" t="s">
        <v>9</v>
      </c>
      <c r="F757" t="s">
        <v>16</v>
      </c>
      <c r="G757">
        <f>COUNTIF(Data[CustomerID], Data[[#This Row],[CustomerID]])</f>
        <v>3</v>
      </c>
      <c r="H757" s="1" t="str">
        <f>TEXT(Data[OrderDate],"yyyy-mmm")</f>
        <v>2024-Jun</v>
      </c>
      <c r="I757">
        <f>IF(
   COUNTIFS(
      Data[CustomerID], Data[[#This Row],[CustomerID]],
      Data[OrderDate], "&lt;" &amp; EOMONTH(Data[[#This Row],[OrderDate]], -1) + 1
   ) &gt; 0,
   1,
   0
)</f>
        <v>1</v>
      </c>
      <c r="J757">
        <f>YEAR(Data[[#This Row],[OrderDate]])</f>
        <v>2024</v>
      </c>
      <c r="K757" s="2">
        <f>MONTH(Data[[#This Row],[OrderDate]])</f>
        <v>6</v>
      </c>
    </row>
    <row r="758" spans="1:11" x14ac:dyDescent="0.25">
      <c r="A758">
        <v>1091</v>
      </c>
      <c r="B758">
        <v>549</v>
      </c>
      <c r="C758" s="1">
        <v>45447</v>
      </c>
      <c r="D758">
        <v>277.06</v>
      </c>
      <c r="E758" t="s">
        <v>11</v>
      </c>
      <c r="F758" t="s">
        <v>7</v>
      </c>
      <c r="G758">
        <f>COUNTIF(Data[CustomerID], Data[[#This Row],[CustomerID]])</f>
        <v>2</v>
      </c>
      <c r="H758" s="1" t="str">
        <f>TEXT(Data[OrderDate],"yyyy-mmm")</f>
        <v>2024-Jun</v>
      </c>
      <c r="I758">
        <f>IF(
   COUNTIFS(
      Data[CustomerID], Data[[#This Row],[CustomerID]],
      Data[OrderDate], "&lt;" &amp; EOMONTH(Data[[#This Row],[OrderDate]], -1) + 1
   ) &gt; 0,
   1,
   0
)</f>
        <v>0</v>
      </c>
      <c r="J758">
        <f>YEAR(Data[[#This Row],[OrderDate]])</f>
        <v>2024</v>
      </c>
      <c r="K758" s="2">
        <f>MONTH(Data[[#This Row],[OrderDate]])</f>
        <v>6</v>
      </c>
    </row>
    <row r="759" spans="1:11" x14ac:dyDescent="0.25">
      <c r="A759">
        <v>1698</v>
      </c>
      <c r="B759">
        <v>784</v>
      </c>
      <c r="C759" s="1">
        <v>45447</v>
      </c>
      <c r="D759">
        <v>204.97</v>
      </c>
      <c r="E759" t="s">
        <v>9</v>
      </c>
      <c r="F759" t="s">
        <v>16</v>
      </c>
      <c r="G759">
        <f>COUNTIF(Data[CustomerID], Data[[#This Row],[CustomerID]])</f>
        <v>3</v>
      </c>
      <c r="H759" s="1" t="str">
        <f>TEXT(Data[OrderDate],"yyyy-mmm")</f>
        <v>2024-Jun</v>
      </c>
      <c r="I759">
        <f>IF(
   COUNTIFS(
      Data[CustomerID], Data[[#This Row],[CustomerID]],
      Data[OrderDate], "&lt;" &amp; EOMONTH(Data[[#This Row],[OrderDate]], -1) + 1
   ) &gt; 0,
   1,
   0
)</f>
        <v>1</v>
      </c>
      <c r="J759">
        <f>YEAR(Data[[#This Row],[OrderDate]])</f>
        <v>2024</v>
      </c>
      <c r="K759" s="2">
        <f>MONTH(Data[[#This Row],[OrderDate]])</f>
        <v>6</v>
      </c>
    </row>
    <row r="760" spans="1:11" x14ac:dyDescent="0.25">
      <c r="A760">
        <v>1468</v>
      </c>
      <c r="B760">
        <v>811</v>
      </c>
      <c r="C760" s="1">
        <v>45447</v>
      </c>
      <c r="D760">
        <v>13.88</v>
      </c>
      <c r="E760" t="s">
        <v>15</v>
      </c>
      <c r="F760" t="s">
        <v>7</v>
      </c>
      <c r="G760">
        <f>COUNTIF(Data[CustomerID], Data[[#This Row],[CustomerID]])</f>
        <v>1</v>
      </c>
      <c r="H760" s="1" t="str">
        <f>TEXT(Data[OrderDate],"yyyy-mmm")</f>
        <v>2024-Jun</v>
      </c>
      <c r="I760">
        <f>IF(
   COUNTIFS(
      Data[CustomerID], Data[[#This Row],[CustomerID]],
      Data[OrderDate], "&lt;" &amp; EOMONTH(Data[[#This Row],[OrderDate]], -1) + 1
   ) &gt; 0,
   1,
   0
)</f>
        <v>0</v>
      </c>
      <c r="J760">
        <f>YEAR(Data[[#This Row],[OrderDate]])</f>
        <v>2024</v>
      </c>
      <c r="K760" s="2">
        <f>MONTH(Data[[#This Row],[OrderDate]])</f>
        <v>6</v>
      </c>
    </row>
    <row r="761" spans="1:11" x14ac:dyDescent="0.25">
      <c r="A761">
        <v>1449</v>
      </c>
      <c r="B761">
        <v>995</v>
      </c>
      <c r="C761" s="1">
        <v>45447</v>
      </c>
      <c r="D761">
        <v>17.45</v>
      </c>
      <c r="E761" t="s">
        <v>13</v>
      </c>
      <c r="F761" t="s">
        <v>18</v>
      </c>
      <c r="G761">
        <f>COUNTIF(Data[CustomerID], Data[[#This Row],[CustomerID]])</f>
        <v>1</v>
      </c>
      <c r="H761" s="1" t="str">
        <f>TEXT(Data[OrderDate],"yyyy-mmm")</f>
        <v>2024-Jun</v>
      </c>
      <c r="I761">
        <f>IF(
   COUNTIFS(
      Data[CustomerID], Data[[#This Row],[CustomerID]],
      Data[OrderDate], "&lt;" &amp; EOMONTH(Data[[#This Row],[OrderDate]], -1) + 1
   ) &gt; 0,
   1,
   0
)</f>
        <v>0</v>
      </c>
      <c r="J761">
        <f>YEAR(Data[[#This Row],[OrderDate]])</f>
        <v>2024</v>
      </c>
      <c r="K761" s="2">
        <f>MONTH(Data[[#This Row],[OrderDate]])</f>
        <v>6</v>
      </c>
    </row>
    <row r="762" spans="1:11" x14ac:dyDescent="0.25">
      <c r="A762">
        <v>1488</v>
      </c>
      <c r="B762">
        <v>343</v>
      </c>
      <c r="C762" s="1">
        <v>45448</v>
      </c>
      <c r="D762">
        <v>310.49</v>
      </c>
      <c r="E762" t="s">
        <v>11</v>
      </c>
      <c r="F762" t="s">
        <v>16</v>
      </c>
      <c r="G762">
        <f>COUNTIF(Data[CustomerID], Data[[#This Row],[CustomerID]])</f>
        <v>1</v>
      </c>
      <c r="H762" s="1" t="str">
        <f>TEXT(Data[OrderDate],"yyyy-mmm")</f>
        <v>2024-Jun</v>
      </c>
      <c r="I762">
        <f>IF(
   COUNTIFS(
      Data[CustomerID], Data[[#This Row],[CustomerID]],
      Data[OrderDate], "&lt;" &amp; EOMONTH(Data[[#This Row],[OrderDate]], -1) + 1
   ) &gt; 0,
   1,
   0
)</f>
        <v>0</v>
      </c>
      <c r="J762">
        <f>YEAR(Data[[#This Row],[OrderDate]])</f>
        <v>2024</v>
      </c>
      <c r="K762" s="2">
        <f>MONTH(Data[[#This Row],[OrderDate]])</f>
        <v>6</v>
      </c>
    </row>
    <row r="763" spans="1:11" x14ac:dyDescent="0.25">
      <c r="A763">
        <v>1537</v>
      </c>
      <c r="B763">
        <v>527</v>
      </c>
      <c r="C763" s="1">
        <v>45449</v>
      </c>
      <c r="D763">
        <v>445.25</v>
      </c>
      <c r="E763" t="s">
        <v>17</v>
      </c>
      <c r="F763" t="s">
        <v>14</v>
      </c>
      <c r="G763">
        <f>COUNTIF(Data[CustomerID], Data[[#This Row],[CustomerID]])</f>
        <v>1</v>
      </c>
      <c r="H763" s="1" t="str">
        <f>TEXT(Data[OrderDate],"yyyy-mmm")</f>
        <v>2024-Jun</v>
      </c>
      <c r="I763">
        <f>IF(
   COUNTIFS(
      Data[CustomerID], Data[[#This Row],[CustomerID]],
      Data[OrderDate], "&lt;" &amp; EOMONTH(Data[[#This Row],[OrderDate]], -1) + 1
   ) &gt; 0,
   1,
   0
)</f>
        <v>0</v>
      </c>
      <c r="J763">
        <f>YEAR(Data[[#This Row],[OrderDate]])</f>
        <v>2024</v>
      </c>
      <c r="K763" s="2">
        <f>MONTH(Data[[#This Row],[OrderDate]])</f>
        <v>6</v>
      </c>
    </row>
    <row r="764" spans="1:11" x14ac:dyDescent="0.25">
      <c r="A764">
        <v>1748</v>
      </c>
      <c r="B764">
        <v>118</v>
      </c>
      <c r="C764" s="1">
        <v>45450</v>
      </c>
      <c r="D764">
        <v>333</v>
      </c>
      <c r="E764" t="s">
        <v>15</v>
      </c>
      <c r="F764" t="s">
        <v>10</v>
      </c>
      <c r="G764">
        <f>COUNTIF(Data[CustomerID], Data[[#This Row],[CustomerID]])</f>
        <v>2</v>
      </c>
      <c r="H764" s="1" t="str">
        <f>TEXT(Data[OrderDate],"yyyy-mmm")</f>
        <v>2024-Jun</v>
      </c>
      <c r="I764">
        <f>IF(
   COUNTIFS(
      Data[CustomerID], Data[[#This Row],[CustomerID]],
      Data[OrderDate], "&lt;" &amp; EOMONTH(Data[[#This Row],[OrderDate]], -1) + 1
   ) &gt; 0,
   1,
   0
)</f>
        <v>0</v>
      </c>
      <c r="J764">
        <f>YEAR(Data[[#This Row],[OrderDate]])</f>
        <v>2024</v>
      </c>
      <c r="K764" s="2">
        <f>MONTH(Data[[#This Row],[OrderDate]])</f>
        <v>6</v>
      </c>
    </row>
    <row r="765" spans="1:11" x14ac:dyDescent="0.25">
      <c r="A765">
        <v>1085</v>
      </c>
      <c r="B765">
        <v>645</v>
      </c>
      <c r="C765" s="1">
        <v>45450</v>
      </c>
      <c r="D765">
        <v>376.03</v>
      </c>
      <c r="E765" t="s">
        <v>8</v>
      </c>
      <c r="F765" t="s">
        <v>16</v>
      </c>
      <c r="G765">
        <f>COUNTIF(Data[CustomerID], Data[[#This Row],[CustomerID]])</f>
        <v>2</v>
      </c>
      <c r="H765" s="1" t="str">
        <f>TEXT(Data[OrderDate],"yyyy-mmm")</f>
        <v>2024-Jun</v>
      </c>
      <c r="I765">
        <f>IF(
   COUNTIFS(
      Data[CustomerID], Data[[#This Row],[CustomerID]],
      Data[OrderDate], "&lt;" &amp; EOMONTH(Data[[#This Row],[OrderDate]], -1) + 1
   ) &gt; 0,
   1,
   0
)</f>
        <v>1</v>
      </c>
      <c r="J765">
        <f>YEAR(Data[[#This Row],[OrderDate]])</f>
        <v>2024</v>
      </c>
      <c r="K765" s="2">
        <f>MONTH(Data[[#This Row],[OrderDate]])</f>
        <v>6</v>
      </c>
    </row>
    <row r="766" spans="1:11" x14ac:dyDescent="0.25">
      <c r="A766">
        <v>1090</v>
      </c>
      <c r="B766">
        <v>878</v>
      </c>
      <c r="C766" s="1">
        <v>45450</v>
      </c>
      <c r="D766">
        <v>171.74</v>
      </c>
      <c r="E766" t="s">
        <v>15</v>
      </c>
      <c r="F766" t="s">
        <v>19</v>
      </c>
      <c r="G766">
        <f>COUNTIF(Data[CustomerID], Data[[#This Row],[CustomerID]])</f>
        <v>1</v>
      </c>
      <c r="H766" s="1" t="str">
        <f>TEXT(Data[OrderDate],"yyyy-mmm")</f>
        <v>2024-Jun</v>
      </c>
      <c r="I766">
        <f>IF(
   COUNTIFS(
      Data[CustomerID], Data[[#This Row],[CustomerID]],
      Data[OrderDate], "&lt;" &amp; EOMONTH(Data[[#This Row],[OrderDate]], -1) + 1
   ) &gt; 0,
   1,
   0
)</f>
        <v>0</v>
      </c>
      <c r="J766">
        <f>YEAR(Data[[#This Row],[OrderDate]])</f>
        <v>2024</v>
      </c>
      <c r="K766" s="2">
        <f>MONTH(Data[[#This Row],[OrderDate]])</f>
        <v>6</v>
      </c>
    </row>
    <row r="767" spans="1:11" x14ac:dyDescent="0.25">
      <c r="A767">
        <v>1133</v>
      </c>
      <c r="B767">
        <v>912</v>
      </c>
      <c r="C767" s="1">
        <v>45450</v>
      </c>
      <c r="D767">
        <v>87.73</v>
      </c>
      <c r="E767" t="s">
        <v>20</v>
      </c>
      <c r="F767" t="s">
        <v>12</v>
      </c>
      <c r="G767">
        <f>COUNTIF(Data[CustomerID], Data[[#This Row],[CustomerID]])</f>
        <v>1</v>
      </c>
      <c r="H767" s="1" t="str">
        <f>TEXT(Data[OrderDate],"yyyy-mmm")</f>
        <v>2024-Jun</v>
      </c>
      <c r="I767">
        <f>IF(
   COUNTIFS(
      Data[CustomerID], Data[[#This Row],[CustomerID]],
      Data[OrderDate], "&lt;" &amp; EOMONTH(Data[[#This Row],[OrderDate]], -1) + 1
   ) &gt; 0,
   1,
   0
)</f>
        <v>0</v>
      </c>
      <c r="J767">
        <f>YEAR(Data[[#This Row],[OrderDate]])</f>
        <v>2024</v>
      </c>
      <c r="K767" s="2">
        <f>MONTH(Data[[#This Row],[OrderDate]])</f>
        <v>6</v>
      </c>
    </row>
    <row r="768" spans="1:11" x14ac:dyDescent="0.25">
      <c r="A768">
        <v>1177</v>
      </c>
      <c r="B768">
        <v>966</v>
      </c>
      <c r="C768" s="1">
        <v>45450</v>
      </c>
      <c r="D768">
        <v>413.14</v>
      </c>
      <c r="E768" t="s">
        <v>8</v>
      </c>
      <c r="F768" t="s">
        <v>7</v>
      </c>
      <c r="G768">
        <f>COUNTIF(Data[CustomerID], Data[[#This Row],[CustomerID]])</f>
        <v>1</v>
      </c>
      <c r="H768" s="1" t="str">
        <f>TEXT(Data[OrderDate],"yyyy-mmm")</f>
        <v>2024-Jun</v>
      </c>
      <c r="I768">
        <f>IF(
   COUNTIFS(
      Data[CustomerID], Data[[#This Row],[CustomerID]],
      Data[OrderDate], "&lt;" &amp; EOMONTH(Data[[#This Row],[OrderDate]], -1) + 1
   ) &gt; 0,
   1,
   0
)</f>
        <v>0</v>
      </c>
      <c r="J768">
        <f>YEAR(Data[[#This Row],[OrderDate]])</f>
        <v>2024</v>
      </c>
      <c r="K768" s="2">
        <f>MONTH(Data[[#This Row],[OrderDate]])</f>
        <v>6</v>
      </c>
    </row>
    <row r="769" spans="1:11" x14ac:dyDescent="0.25">
      <c r="A769">
        <v>1612</v>
      </c>
      <c r="B769">
        <v>175</v>
      </c>
      <c r="C769" s="1">
        <v>45451</v>
      </c>
      <c r="D769">
        <v>70.69</v>
      </c>
      <c r="E769" t="s">
        <v>11</v>
      </c>
      <c r="F769" t="s">
        <v>10</v>
      </c>
      <c r="G769">
        <f>COUNTIF(Data[CustomerID], Data[[#This Row],[CustomerID]])</f>
        <v>4</v>
      </c>
      <c r="H769" s="1" t="str">
        <f>TEXT(Data[OrderDate],"yyyy-mmm")</f>
        <v>2024-Jun</v>
      </c>
      <c r="I769">
        <f>IF(
   COUNTIFS(
      Data[CustomerID], Data[[#This Row],[CustomerID]],
      Data[OrderDate], "&lt;" &amp; EOMONTH(Data[[#This Row],[OrderDate]], -1) + 1
   ) &gt; 0,
   1,
   0
)</f>
        <v>1</v>
      </c>
      <c r="J769">
        <f>YEAR(Data[[#This Row],[OrderDate]])</f>
        <v>2024</v>
      </c>
      <c r="K769" s="2">
        <f>MONTH(Data[[#This Row],[OrderDate]])</f>
        <v>6</v>
      </c>
    </row>
    <row r="770" spans="1:11" x14ac:dyDescent="0.25">
      <c r="A770">
        <v>1530</v>
      </c>
      <c r="B770">
        <v>881</v>
      </c>
      <c r="C770" s="1">
        <v>45451</v>
      </c>
      <c r="D770">
        <v>59.82</v>
      </c>
      <c r="E770" t="s">
        <v>9</v>
      </c>
      <c r="F770" t="s">
        <v>10</v>
      </c>
      <c r="G770">
        <f>COUNTIF(Data[CustomerID], Data[[#This Row],[CustomerID]])</f>
        <v>1</v>
      </c>
      <c r="H770" s="1" t="str">
        <f>TEXT(Data[OrderDate],"yyyy-mmm")</f>
        <v>2024-Jun</v>
      </c>
      <c r="I770">
        <f>IF(
   COUNTIFS(
      Data[CustomerID], Data[[#This Row],[CustomerID]],
      Data[OrderDate], "&lt;" &amp; EOMONTH(Data[[#This Row],[OrderDate]], -1) + 1
   ) &gt; 0,
   1,
   0
)</f>
        <v>0</v>
      </c>
      <c r="J770">
        <f>YEAR(Data[[#This Row],[OrderDate]])</f>
        <v>2024</v>
      </c>
      <c r="K770" s="2">
        <f>MONTH(Data[[#This Row],[OrderDate]])</f>
        <v>6</v>
      </c>
    </row>
    <row r="771" spans="1:11" x14ac:dyDescent="0.25">
      <c r="A771">
        <v>1592</v>
      </c>
      <c r="B771">
        <v>144</v>
      </c>
      <c r="C771" s="1">
        <v>45452</v>
      </c>
      <c r="D771">
        <v>269.08999999999997</v>
      </c>
      <c r="E771" t="s">
        <v>8</v>
      </c>
      <c r="F771" t="s">
        <v>10</v>
      </c>
      <c r="G771">
        <f>COUNTIF(Data[CustomerID], Data[[#This Row],[CustomerID]])</f>
        <v>1</v>
      </c>
      <c r="H771" s="1" t="str">
        <f>TEXT(Data[OrderDate],"yyyy-mmm")</f>
        <v>2024-Jun</v>
      </c>
      <c r="I771">
        <f>IF(
   COUNTIFS(
      Data[CustomerID], Data[[#This Row],[CustomerID]],
      Data[OrderDate], "&lt;" &amp; EOMONTH(Data[[#This Row],[OrderDate]], -1) + 1
   ) &gt; 0,
   1,
   0
)</f>
        <v>0</v>
      </c>
      <c r="J771">
        <f>YEAR(Data[[#This Row],[OrderDate]])</f>
        <v>2024</v>
      </c>
      <c r="K771" s="2">
        <f>MONTH(Data[[#This Row],[OrderDate]])</f>
        <v>6</v>
      </c>
    </row>
    <row r="772" spans="1:11" x14ac:dyDescent="0.25">
      <c r="A772">
        <v>1230</v>
      </c>
      <c r="B772">
        <v>152</v>
      </c>
      <c r="C772" s="1">
        <v>45452</v>
      </c>
      <c r="D772">
        <v>493.41</v>
      </c>
      <c r="E772" t="s">
        <v>8</v>
      </c>
      <c r="F772" t="s">
        <v>7</v>
      </c>
      <c r="G772">
        <f>COUNTIF(Data[CustomerID], Data[[#This Row],[CustomerID]])</f>
        <v>3</v>
      </c>
      <c r="H772" s="1" t="str">
        <f>TEXT(Data[OrderDate],"yyyy-mmm")</f>
        <v>2024-Jun</v>
      </c>
      <c r="I772">
        <f>IF(
   COUNTIFS(
      Data[CustomerID], Data[[#This Row],[CustomerID]],
      Data[OrderDate], "&lt;" &amp; EOMONTH(Data[[#This Row],[OrderDate]], -1) + 1
   ) &gt; 0,
   1,
   0
)</f>
        <v>1</v>
      </c>
      <c r="J772">
        <f>YEAR(Data[[#This Row],[OrderDate]])</f>
        <v>2024</v>
      </c>
      <c r="K772" s="2">
        <f>MONTH(Data[[#This Row],[OrderDate]])</f>
        <v>6</v>
      </c>
    </row>
    <row r="773" spans="1:11" x14ac:dyDescent="0.25">
      <c r="A773">
        <v>1438</v>
      </c>
      <c r="B773">
        <v>305</v>
      </c>
      <c r="C773" s="1">
        <v>45452</v>
      </c>
      <c r="D773">
        <v>337.36</v>
      </c>
      <c r="E773" t="s">
        <v>15</v>
      </c>
      <c r="F773" t="s">
        <v>16</v>
      </c>
      <c r="G773">
        <f>COUNTIF(Data[CustomerID], Data[[#This Row],[CustomerID]])</f>
        <v>1</v>
      </c>
      <c r="H773" s="1" t="str">
        <f>TEXT(Data[OrderDate],"yyyy-mmm")</f>
        <v>2024-Jun</v>
      </c>
      <c r="I773">
        <f>IF(
   COUNTIFS(
      Data[CustomerID], Data[[#This Row],[CustomerID]],
      Data[OrderDate], "&lt;" &amp; EOMONTH(Data[[#This Row],[OrderDate]], -1) + 1
   ) &gt; 0,
   1,
   0
)</f>
        <v>0</v>
      </c>
      <c r="J773">
        <f>YEAR(Data[[#This Row],[OrderDate]])</f>
        <v>2024</v>
      </c>
      <c r="K773" s="2">
        <f>MONTH(Data[[#This Row],[OrderDate]])</f>
        <v>6</v>
      </c>
    </row>
    <row r="774" spans="1:11" x14ac:dyDescent="0.25">
      <c r="A774">
        <v>1142</v>
      </c>
      <c r="B774">
        <v>548</v>
      </c>
      <c r="C774" s="1">
        <v>45452</v>
      </c>
      <c r="D774">
        <v>209</v>
      </c>
      <c r="E774" t="s">
        <v>17</v>
      </c>
      <c r="F774" t="s">
        <v>12</v>
      </c>
      <c r="G774">
        <f>COUNTIF(Data[CustomerID], Data[[#This Row],[CustomerID]])</f>
        <v>2</v>
      </c>
      <c r="H774" s="1" t="str">
        <f>TEXT(Data[OrderDate],"yyyy-mmm")</f>
        <v>2024-Jun</v>
      </c>
      <c r="I774">
        <f>IF(
   COUNTIFS(
      Data[CustomerID], Data[[#This Row],[CustomerID]],
      Data[OrderDate], "&lt;" &amp; EOMONTH(Data[[#This Row],[OrderDate]], -1) + 1
   ) &gt; 0,
   1,
   0
)</f>
        <v>1</v>
      </c>
      <c r="J774">
        <f>YEAR(Data[[#This Row],[OrderDate]])</f>
        <v>2024</v>
      </c>
      <c r="K774" s="2">
        <f>MONTH(Data[[#This Row],[OrderDate]])</f>
        <v>6</v>
      </c>
    </row>
    <row r="775" spans="1:11" x14ac:dyDescent="0.25">
      <c r="A775">
        <v>1159</v>
      </c>
      <c r="B775">
        <v>693</v>
      </c>
      <c r="C775" s="1">
        <v>45452</v>
      </c>
      <c r="D775">
        <v>384.46</v>
      </c>
      <c r="E775" t="s">
        <v>13</v>
      </c>
      <c r="F775" t="s">
        <v>7</v>
      </c>
      <c r="G775">
        <f>COUNTIF(Data[CustomerID], Data[[#This Row],[CustomerID]])</f>
        <v>3</v>
      </c>
      <c r="H775" s="1" t="str">
        <f>TEXT(Data[OrderDate],"yyyy-mmm")</f>
        <v>2024-Jun</v>
      </c>
      <c r="I775">
        <f>IF(
   COUNTIFS(
      Data[CustomerID], Data[[#This Row],[CustomerID]],
      Data[OrderDate], "&lt;" &amp; EOMONTH(Data[[#This Row],[OrderDate]], -1) + 1
   ) &gt; 0,
   1,
   0
)</f>
        <v>1</v>
      </c>
      <c r="J775">
        <f>YEAR(Data[[#This Row],[OrderDate]])</f>
        <v>2024</v>
      </c>
      <c r="K775" s="2">
        <f>MONTH(Data[[#This Row],[OrderDate]])</f>
        <v>6</v>
      </c>
    </row>
    <row r="776" spans="1:11" x14ac:dyDescent="0.25">
      <c r="A776">
        <v>1690</v>
      </c>
      <c r="B776">
        <v>704</v>
      </c>
      <c r="C776" s="1">
        <v>45453</v>
      </c>
      <c r="D776">
        <v>475.4</v>
      </c>
      <c r="E776" t="s">
        <v>17</v>
      </c>
      <c r="F776" t="s">
        <v>12</v>
      </c>
      <c r="G776">
        <f>COUNTIF(Data[CustomerID], Data[[#This Row],[CustomerID]])</f>
        <v>2</v>
      </c>
      <c r="H776" s="1" t="str">
        <f>TEXT(Data[OrderDate],"yyyy-mmm")</f>
        <v>2024-Jun</v>
      </c>
      <c r="I776">
        <f>IF(
   COUNTIFS(
      Data[CustomerID], Data[[#This Row],[CustomerID]],
      Data[OrderDate], "&lt;" &amp; EOMONTH(Data[[#This Row],[OrderDate]], -1) + 1
   ) &gt; 0,
   1,
   0
)</f>
        <v>0</v>
      </c>
      <c r="J776">
        <f>YEAR(Data[[#This Row],[OrderDate]])</f>
        <v>2024</v>
      </c>
      <c r="K776" s="2">
        <f>MONTH(Data[[#This Row],[OrderDate]])</f>
        <v>6</v>
      </c>
    </row>
    <row r="777" spans="1:11" x14ac:dyDescent="0.25">
      <c r="A777">
        <v>1647</v>
      </c>
      <c r="B777">
        <v>963</v>
      </c>
      <c r="C777" s="1">
        <v>45453</v>
      </c>
      <c r="D777">
        <v>27.83</v>
      </c>
      <c r="E777" t="s">
        <v>20</v>
      </c>
      <c r="F777" t="s">
        <v>12</v>
      </c>
      <c r="G777">
        <f>COUNTIF(Data[CustomerID], Data[[#This Row],[CustomerID]])</f>
        <v>3</v>
      </c>
      <c r="H777" s="1" t="str">
        <f>TEXT(Data[OrderDate],"yyyy-mmm")</f>
        <v>2024-Jun</v>
      </c>
      <c r="I777">
        <f>IF(
   COUNTIFS(
      Data[CustomerID], Data[[#This Row],[CustomerID]],
      Data[OrderDate], "&lt;" &amp; EOMONTH(Data[[#This Row],[OrderDate]], -1) + 1
   ) &gt; 0,
   1,
   0
)</f>
        <v>1</v>
      </c>
      <c r="J777">
        <f>YEAR(Data[[#This Row],[OrderDate]])</f>
        <v>2024</v>
      </c>
      <c r="K777" s="2">
        <f>MONTH(Data[[#This Row],[OrderDate]])</f>
        <v>6</v>
      </c>
    </row>
    <row r="778" spans="1:11" x14ac:dyDescent="0.25">
      <c r="A778">
        <v>1593</v>
      </c>
      <c r="B778">
        <v>989</v>
      </c>
      <c r="C778" s="1">
        <v>45453</v>
      </c>
      <c r="D778">
        <v>370.1</v>
      </c>
      <c r="E778" t="s">
        <v>13</v>
      </c>
      <c r="F778" t="s">
        <v>10</v>
      </c>
      <c r="G778">
        <f>COUNTIF(Data[CustomerID], Data[[#This Row],[CustomerID]])</f>
        <v>1</v>
      </c>
      <c r="H778" s="1" t="str">
        <f>TEXT(Data[OrderDate],"yyyy-mmm")</f>
        <v>2024-Jun</v>
      </c>
      <c r="I778">
        <f>IF(
   COUNTIFS(
      Data[CustomerID], Data[[#This Row],[CustomerID]],
      Data[OrderDate], "&lt;" &amp; EOMONTH(Data[[#This Row],[OrderDate]], -1) + 1
   ) &gt; 0,
   1,
   0
)</f>
        <v>0</v>
      </c>
      <c r="J778">
        <f>YEAR(Data[[#This Row],[OrderDate]])</f>
        <v>2024</v>
      </c>
      <c r="K778" s="2">
        <f>MONTH(Data[[#This Row],[OrderDate]])</f>
        <v>6</v>
      </c>
    </row>
    <row r="779" spans="1:11" x14ac:dyDescent="0.25">
      <c r="A779">
        <v>1391</v>
      </c>
      <c r="B779">
        <v>425</v>
      </c>
      <c r="C779" s="1">
        <v>45455</v>
      </c>
      <c r="D779">
        <v>160.30000000000001</v>
      </c>
      <c r="E779" t="s">
        <v>13</v>
      </c>
      <c r="F779" t="s">
        <v>16</v>
      </c>
      <c r="G779">
        <f>COUNTIF(Data[CustomerID], Data[[#This Row],[CustomerID]])</f>
        <v>2</v>
      </c>
      <c r="H779" s="1" t="str">
        <f>TEXT(Data[OrderDate],"yyyy-mmm")</f>
        <v>2024-Jun</v>
      </c>
      <c r="I779">
        <f>IF(
   COUNTIFS(
      Data[CustomerID], Data[[#This Row],[CustomerID]],
      Data[OrderDate], "&lt;" &amp; EOMONTH(Data[[#This Row],[OrderDate]], -1) + 1
   ) &gt; 0,
   1,
   0
)</f>
        <v>1</v>
      </c>
      <c r="J779">
        <f>YEAR(Data[[#This Row],[OrderDate]])</f>
        <v>2024</v>
      </c>
      <c r="K779" s="2">
        <f>MONTH(Data[[#This Row],[OrderDate]])</f>
        <v>6</v>
      </c>
    </row>
    <row r="780" spans="1:11" x14ac:dyDescent="0.25">
      <c r="A780">
        <v>1627</v>
      </c>
      <c r="B780">
        <v>244</v>
      </c>
      <c r="C780" s="1">
        <v>45458</v>
      </c>
      <c r="D780">
        <v>78.75</v>
      </c>
      <c r="E780" t="s">
        <v>20</v>
      </c>
      <c r="F780" t="s">
        <v>19</v>
      </c>
      <c r="G780">
        <f>COUNTIF(Data[CustomerID], Data[[#This Row],[CustomerID]])</f>
        <v>2</v>
      </c>
      <c r="H780" s="1" t="str">
        <f>TEXT(Data[OrderDate],"yyyy-mmm")</f>
        <v>2024-Jun</v>
      </c>
      <c r="I780">
        <f>IF(
   COUNTIFS(
      Data[CustomerID], Data[[#This Row],[CustomerID]],
      Data[OrderDate], "&lt;" &amp; EOMONTH(Data[[#This Row],[OrderDate]], -1) + 1
   ) &gt; 0,
   1,
   0
)</f>
        <v>0</v>
      </c>
      <c r="J780">
        <f>YEAR(Data[[#This Row],[OrderDate]])</f>
        <v>2024</v>
      </c>
      <c r="K780" s="2">
        <f>MONTH(Data[[#This Row],[OrderDate]])</f>
        <v>6</v>
      </c>
    </row>
    <row r="781" spans="1:11" x14ac:dyDescent="0.25">
      <c r="A781">
        <v>1524</v>
      </c>
      <c r="B781">
        <v>532</v>
      </c>
      <c r="C781" s="1">
        <v>45458</v>
      </c>
      <c r="D781">
        <v>224.42</v>
      </c>
      <c r="E781" t="s">
        <v>17</v>
      </c>
      <c r="F781" t="s">
        <v>12</v>
      </c>
      <c r="G781">
        <f>COUNTIF(Data[CustomerID], Data[[#This Row],[CustomerID]])</f>
        <v>3</v>
      </c>
      <c r="H781" s="1" t="str">
        <f>TEXT(Data[OrderDate],"yyyy-mmm")</f>
        <v>2024-Jun</v>
      </c>
      <c r="I781">
        <f>IF(
   COUNTIFS(
      Data[CustomerID], Data[[#This Row],[CustomerID]],
      Data[OrderDate], "&lt;" &amp; EOMONTH(Data[[#This Row],[OrderDate]], -1) + 1
   ) &gt; 0,
   1,
   0
)</f>
        <v>1</v>
      </c>
      <c r="J781">
        <f>YEAR(Data[[#This Row],[OrderDate]])</f>
        <v>2024</v>
      </c>
      <c r="K781" s="2">
        <f>MONTH(Data[[#This Row],[OrderDate]])</f>
        <v>6</v>
      </c>
    </row>
    <row r="782" spans="1:11" x14ac:dyDescent="0.25">
      <c r="A782">
        <v>1251</v>
      </c>
      <c r="B782">
        <v>113</v>
      </c>
      <c r="C782" s="1">
        <v>45460</v>
      </c>
      <c r="D782">
        <v>221.4</v>
      </c>
      <c r="E782" t="s">
        <v>15</v>
      </c>
      <c r="F782" t="s">
        <v>18</v>
      </c>
      <c r="G782">
        <f>COUNTIF(Data[CustomerID], Data[[#This Row],[CustomerID]])</f>
        <v>2</v>
      </c>
      <c r="H782" s="1" t="str">
        <f>TEXT(Data[OrderDate],"yyyy-mmm")</f>
        <v>2024-Jun</v>
      </c>
      <c r="I782">
        <f>IF(
   COUNTIFS(
      Data[CustomerID], Data[[#This Row],[CustomerID]],
      Data[OrderDate], "&lt;" &amp; EOMONTH(Data[[#This Row],[OrderDate]], -1) + 1
   ) &gt; 0,
   1,
   0
)</f>
        <v>1</v>
      </c>
      <c r="J782">
        <f>YEAR(Data[[#This Row],[OrderDate]])</f>
        <v>2024</v>
      </c>
      <c r="K782" s="2">
        <f>MONTH(Data[[#This Row],[OrderDate]])</f>
        <v>6</v>
      </c>
    </row>
    <row r="783" spans="1:11" x14ac:dyDescent="0.25">
      <c r="A783">
        <v>1216</v>
      </c>
      <c r="B783">
        <v>866</v>
      </c>
      <c r="C783" s="1">
        <v>45461</v>
      </c>
      <c r="D783">
        <v>164.89</v>
      </c>
      <c r="E783" t="s">
        <v>9</v>
      </c>
      <c r="F783" t="s">
        <v>16</v>
      </c>
      <c r="G783">
        <f>COUNTIF(Data[CustomerID], Data[[#This Row],[CustomerID]])</f>
        <v>3</v>
      </c>
      <c r="H783" s="1" t="str">
        <f>TEXT(Data[OrderDate],"yyyy-mmm")</f>
        <v>2024-Jun</v>
      </c>
      <c r="I783">
        <f>IF(
   COUNTIFS(
      Data[CustomerID], Data[[#This Row],[CustomerID]],
      Data[OrderDate], "&lt;" &amp; EOMONTH(Data[[#This Row],[OrderDate]], -1) + 1
   ) &gt; 0,
   1,
   0
)</f>
        <v>1</v>
      </c>
      <c r="J783">
        <f>YEAR(Data[[#This Row],[OrderDate]])</f>
        <v>2024</v>
      </c>
      <c r="K783" s="2">
        <f>MONTH(Data[[#This Row],[OrderDate]])</f>
        <v>6</v>
      </c>
    </row>
    <row r="784" spans="1:11" x14ac:dyDescent="0.25">
      <c r="A784">
        <v>1546</v>
      </c>
      <c r="B784">
        <v>986</v>
      </c>
      <c r="C784" s="1">
        <v>45462</v>
      </c>
      <c r="D784">
        <v>129.88999999999999</v>
      </c>
      <c r="E784" t="s">
        <v>9</v>
      </c>
      <c r="F784" t="s">
        <v>18</v>
      </c>
      <c r="G784">
        <f>COUNTIF(Data[CustomerID], Data[[#This Row],[CustomerID]])</f>
        <v>3</v>
      </c>
      <c r="H784" s="1" t="str">
        <f>TEXT(Data[OrderDate],"yyyy-mmm")</f>
        <v>2024-Jun</v>
      </c>
      <c r="I784">
        <f>IF(
   COUNTIFS(
      Data[CustomerID], Data[[#This Row],[CustomerID]],
      Data[OrderDate], "&lt;" &amp; EOMONTH(Data[[#This Row],[OrderDate]], -1) + 1
   ) &gt; 0,
   1,
   0
)</f>
        <v>1</v>
      </c>
      <c r="J784">
        <f>YEAR(Data[[#This Row],[OrderDate]])</f>
        <v>2024</v>
      </c>
      <c r="K784" s="2">
        <f>MONTH(Data[[#This Row],[OrderDate]])</f>
        <v>6</v>
      </c>
    </row>
    <row r="785" spans="1:11" x14ac:dyDescent="0.25">
      <c r="A785">
        <v>1960</v>
      </c>
      <c r="B785">
        <v>173</v>
      </c>
      <c r="C785" s="1">
        <v>45463</v>
      </c>
      <c r="D785">
        <v>268.45999999999998</v>
      </c>
      <c r="E785" t="s">
        <v>6</v>
      </c>
      <c r="F785" t="s">
        <v>19</v>
      </c>
      <c r="G785">
        <f>COUNTIF(Data[CustomerID], Data[[#This Row],[CustomerID]])</f>
        <v>1</v>
      </c>
      <c r="H785" s="1" t="str">
        <f>TEXT(Data[OrderDate],"yyyy-mmm")</f>
        <v>2024-Jun</v>
      </c>
      <c r="I785">
        <f>IF(
   COUNTIFS(
      Data[CustomerID], Data[[#This Row],[CustomerID]],
      Data[OrderDate], "&lt;" &amp; EOMONTH(Data[[#This Row],[OrderDate]], -1) + 1
   ) &gt; 0,
   1,
   0
)</f>
        <v>0</v>
      </c>
      <c r="J785">
        <f>YEAR(Data[[#This Row],[OrderDate]])</f>
        <v>2024</v>
      </c>
      <c r="K785" s="2">
        <f>MONTH(Data[[#This Row],[OrderDate]])</f>
        <v>6</v>
      </c>
    </row>
    <row r="786" spans="1:11" x14ac:dyDescent="0.25">
      <c r="A786">
        <v>1579</v>
      </c>
      <c r="B786">
        <v>417</v>
      </c>
      <c r="C786" s="1">
        <v>45463</v>
      </c>
      <c r="D786">
        <v>16.329999999999998</v>
      </c>
      <c r="E786" t="s">
        <v>13</v>
      </c>
      <c r="F786" t="s">
        <v>14</v>
      </c>
      <c r="G786">
        <f>COUNTIF(Data[CustomerID], Data[[#This Row],[CustomerID]])</f>
        <v>1</v>
      </c>
      <c r="H786" s="1" t="str">
        <f>TEXT(Data[OrderDate],"yyyy-mmm")</f>
        <v>2024-Jun</v>
      </c>
      <c r="I786">
        <f>IF(
   COUNTIFS(
      Data[CustomerID], Data[[#This Row],[CustomerID]],
      Data[OrderDate], "&lt;" &amp; EOMONTH(Data[[#This Row],[OrderDate]], -1) + 1
   ) &gt; 0,
   1,
   0
)</f>
        <v>0</v>
      </c>
      <c r="J786">
        <f>YEAR(Data[[#This Row],[OrderDate]])</f>
        <v>2024</v>
      </c>
      <c r="K786" s="2">
        <f>MONTH(Data[[#This Row],[OrderDate]])</f>
        <v>6</v>
      </c>
    </row>
    <row r="787" spans="1:11" x14ac:dyDescent="0.25">
      <c r="A787">
        <v>1611</v>
      </c>
      <c r="B787">
        <v>663</v>
      </c>
      <c r="C787" s="1">
        <v>45463</v>
      </c>
      <c r="D787">
        <v>94.75</v>
      </c>
      <c r="E787" t="s">
        <v>13</v>
      </c>
      <c r="F787" t="s">
        <v>12</v>
      </c>
      <c r="G787">
        <f>COUNTIF(Data[CustomerID], Data[[#This Row],[CustomerID]])</f>
        <v>2</v>
      </c>
      <c r="H787" s="1" t="str">
        <f>TEXT(Data[OrderDate],"yyyy-mmm")</f>
        <v>2024-Jun</v>
      </c>
      <c r="I787">
        <f>IF(
   COUNTIFS(
      Data[CustomerID], Data[[#This Row],[CustomerID]],
      Data[OrderDate], "&lt;" &amp; EOMONTH(Data[[#This Row],[OrderDate]], -1) + 1
   ) &gt; 0,
   1,
   0
)</f>
        <v>0</v>
      </c>
      <c r="J787">
        <f>YEAR(Data[[#This Row],[OrderDate]])</f>
        <v>2024</v>
      </c>
      <c r="K787" s="2">
        <f>MONTH(Data[[#This Row],[OrderDate]])</f>
        <v>6</v>
      </c>
    </row>
    <row r="788" spans="1:11" x14ac:dyDescent="0.25">
      <c r="A788">
        <v>1150</v>
      </c>
      <c r="B788">
        <v>814</v>
      </c>
      <c r="C788" s="1">
        <v>45463</v>
      </c>
      <c r="D788">
        <v>85</v>
      </c>
      <c r="E788" t="s">
        <v>8</v>
      </c>
      <c r="F788" t="s">
        <v>14</v>
      </c>
      <c r="G788">
        <f>COUNTIF(Data[CustomerID], Data[[#This Row],[CustomerID]])</f>
        <v>2</v>
      </c>
      <c r="H788" s="1" t="str">
        <f>TEXT(Data[OrderDate],"yyyy-mmm")</f>
        <v>2024-Jun</v>
      </c>
      <c r="I788">
        <f>IF(
   COUNTIFS(
      Data[CustomerID], Data[[#This Row],[CustomerID]],
      Data[OrderDate], "&lt;" &amp; EOMONTH(Data[[#This Row],[OrderDate]], -1) + 1
   ) &gt; 0,
   1,
   0
)</f>
        <v>1</v>
      </c>
      <c r="J788">
        <f>YEAR(Data[[#This Row],[OrderDate]])</f>
        <v>2024</v>
      </c>
      <c r="K788" s="2">
        <f>MONTH(Data[[#This Row],[OrderDate]])</f>
        <v>6</v>
      </c>
    </row>
    <row r="789" spans="1:11" x14ac:dyDescent="0.25">
      <c r="A789">
        <v>1521</v>
      </c>
      <c r="B789">
        <v>670</v>
      </c>
      <c r="C789" s="1">
        <v>45464</v>
      </c>
      <c r="D789">
        <v>116.59</v>
      </c>
      <c r="E789" t="s">
        <v>8</v>
      </c>
      <c r="F789" t="s">
        <v>19</v>
      </c>
      <c r="G789">
        <f>COUNTIF(Data[CustomerID], Data[[#This Row],[CustomerID]])</f>
        <v>1</v>
      </c>
      <c r="H789" s="1" t="str">
        <f>TEXT(Data[OrderDate],"yyyy-mmm")</f>
        <v>2024-Jun</v>
      </c>
      <c r="I789">
        <f>IF(
   COUNTIFS(
      Data[CustomerID], Data[[#This Row],[CustomerID]],
      Data[OrderDate], "&lt;" &amp; EOMONTH(Data[[#This Row],[OrderDate]], -1) + 1
   ) &gt; 0,
   1,
   0
)</f>
        <v>0</v>
      </c>
      <c r="J789">
        <f>YEAR(Data[[#This Row],[OrderDate]])</f>
        <v>2024</v>
      </c>
      <c r="K789" s="2">
        <f>MONTH(Data[[#This Row],[OrderDate]])</f>
        <v>6</v>
      </c>
    </row>
    <row r="790" spans="1:11" x14ac:dyDescent="0.25">
      <c r="A790">
        <v>1046</v>
      </c>
      <c r="B790">
        <v>933</v>
      </c>
      <c r="C790" s="1">
        <v>45464</v>
      </c>
      <c r="D790">
        <v>88.7</v>
      </c>
      <c r="E790" t="s">
        <v>11</v>
      </c>
      <c r="F790" t="s">
        <v>12</v>
      </c>
      <c r="G790">
        <f>COUNTIF(Data[CustomerID], Data[[#This Row],[CustomerID]])</f>
        <v>3</v>
      </c>
      <c r="H790" s="1" t="str">
        <f>TEXT(Data[OrderDate],"yyyy-mmm")</f>
        <v>2024-Jun</v>
      </c>
      <c r="I790">
        <f>IF(
   COUNTIFS(
      Data[CustomerID], Data[[#This Row],[CustomerID]],
      Data[OrderDate], "&lt;" &amp; EOMONTH(Data[[#This Row],[OrderDate]], -1) + 1
   ) &gt; 0,
   1,
   0
)</f>
        <v>1</v>
      </c>
      <c r="J790">
        <f>YEAR(Data[[#This Row],[OrderDate]])</f>
        <v>2024</v>
      </c>
      <c r="K790" s="2">
        <f>MONTH(Data[[#This Row],[OrderDate]])</f>
        <v>6</v>
      </c>
    </row>
    <row r="791" spans="1:11" x14ac:dyDescent="0.25">
      <c r="A791">
        <v>1735</v>
      </c>
      <c r="B791">
        <v>950</v>
      </c>
      <c r="C791" s="1">
        <v>45465</v>
      </c>
      <c r="D791">
        <v>351.16</v>
      </c>
      <c r="E791" t="s">
        <v>15</v>
      </c>
      <c r="F791" t="s">
        <v>19</v>
      </c>
      <c r="G791">
        <f>COUNTIF(Data[CustomerID], Data[[#This Row],[CustomerID]])</f>
        <v>3</v>
      </c>
      <c r="H791" s="1" t="str">
        <f>TEXT(Data[OrderDate],"yyyy-mmm")</f>
        <v>2024-Jun</v>
      </c>
      <c r="I791">
        <f>IF(
   COUNTIFS(
      Data[CustomerID], Data[[#This Row],[CustomerID]],
      Data[OrderDate], "&lt;" &amp; EOMONTH(Data[[#This Row],[OrderDate]], -1) + 1
   ) &gt; 0,
   1,
   0
)</f>
        <v>1</v>
      </c>
      <c r="J791">
        <f>YEAR(Data[[#This Row],[OrderDate]])</f>
        <v>2024</v>
      </c>
      <c r="K791" s="2">
        <f>MONTH(Data[[#This Row],[OrderDate]])</f>
        <v>6</v>
      </c>
    </row>
    <row r="792" spans="1:11" x14ac:dyDescent="0.25">
      <c r="A792">
        <v>1040</v>
      </c>
      <c r="B792">
        <v>970</v>
      </c>
      <c r="C792" s="1">
        <v>45465</v>
      </c>
      <c r="D792">
        <v>301.41000000000003</v>
      </c>
      <c r="E792" t="s">
        <v>11</v>
      </c>
      <c r="F792" t="s">
        <v>12</v>
      </c>
      <c r="G792">
        <f>COUNTIF(Data[CustomerID], Data[[#This Row],[CustomerID]])</f>
        <v>3</v>
      </c>
      <c r="H792" s="1" t="str">
        <f>TEXT(Data[OrderDate],"yyyy-mmm")</f>
        <v>2024-Jun</v>
      </c>
      <c r="I792">
        <f>IF(
   COUNTIFS(
      Data[CustomerID], Data[[#This Row],[CustomerID]],
      Data[OrderDate], "&lt;" &amp; EOMONTH(Data[[#This Row],[OrderDate]], -1) + 1
   ) &gt; 0,
   1,
   0
)</f>
        <v>1</v>
      </c>
      <c r="J792">
        <f>YEAR(Data[[#This Row],[OrderDate]])</f>
        <v>2024</v>
      </c>
      <c r="K792" s="2">
        <f>MONTH(Data[[#This Row],[OrderDate]])</f>
        <v>6</v>
      </c>
    </row>
    <row r="793" spans="1:11" x14ac:dyDescent="0.25">
      <c r="A793">
        <v>1098</v>
      </c>
      <c r="B793">
        <v>806</v>
      </c>
      <c r="C793" s="1">
        <v>45467</v>
      </c>
      <c r="D793">
        <v>173.19</v>
      </c>
      <c r="E793" t="s">
        <v>11</v>
      </c>
      <c r="F793" t="s">
        <v>18</v>
      </c>
      <c r="G793">
        <f>COUNTIF(Data[CustomerID], Data[[#This Row],[CustomerID]])</f>
        <v>7</v>
      </c>
      <c r="H793" s="1" t="str">
        <f>TEXT(Data[OrderDate],"yyyy-mmm")</f>
        <v>2024-Jun</v>
      </c>
      <c r="I793">
        <f>IF(
   COUNTIFS(
      Data[CustomerID], Data[[#This Row],[CustomerID]],
      Data[OrderDate], "&lt;" &amp; EOMONTH(Data[[#This Row],[OrderDate]], -1) + 1
   ) &gt; 0,
   1,
   0
)</f>
        <v>1</v>
      </c>
      <c r="J793">
        <f>YEAR(Data[[#This Row],[OrderDate]])</f>
        <v>2024</v>
      </c>
      <c r="K793" s="2">
        <f>MONTH(Data[[#This Row],[OrderDate]])</f>
        <v>6</v>
      </c>
    </row>
    <row r="794" spans="1:11" x14ac:dyDescent="0.25">
      <c r="A794">
        <v>1897</v>
      </c>
      <c r="B794">
        <v>74</v>
      </c>
      <c r="C794" s="1">
        <v>45468</v>
      </c>
      <c r="D794">
        <v>249.17</v>
      </c>
      <c r="E794" t="s">
        <v>9</v>
      </c>
      <c r="F794" t="s">
        <v>16</v>
      </c>
      <c r="G794">
        <f>COUNTIF(Data[CustomerID], Data[[#This Row],[CustomerID]])</f>
        <v>2</v>
      </c>
      <c r="H794" s="1" t="str">
        <f>TEXT(Data[OrderDate],"yyyy-mmm")</f>
        <v>2024-Jun</v>
      </c>
      <c r="I794">
        <f>IF(
   COUNTIFS(
      Data[CustomerID], Data[[#This Row],[CustomerID]],
      Data[OrderDate], "&lt;" &amp; EOMONTH(Data[[#This Row],[OrderDate]], -1) + 1
   ) &gt; 0,
   1,
   0
)</f>
        <v>1</v>
      </c>
      <c r="J794">
        <f>YEAR(Data[[#This Row],[OrderDate]])</f>
        <v>2024</v>
      </c>
      <c r="K794" s="2">
        <f>MONTH(Data[[#This Row],[OrderDate]])</f>
        <v>6</v>
      </c>
    </row>
    <row r="795" spans="1:11" x14ac:dyDescent="0.25">
      <c r="A795">
        <v>1795</v>
      </c>
      <c r="B795">
        <v>217</v>
      </c>
      <c r="C795" s="1">
        <v>45469</v>
      </c>
      <c r="D795">
        <v>439.56</v>
      </c>
      <c r="E795" t="s">
        <v>15</v>
      </c>
      <c r="F795" t="s">
        <v>10</v>
      </c>
      <c r="G795">
        <f>COUNTIF(Data[CustomerID], Data[[#This Row],[CustomerID]])</f>
        <v>3</v>
      </c>
      <c r="H795" s="1" t="str">
        <f>TEXT(Data[OrderDate],"yyyy-mmm")</f>
        <v>2024-Jun</v>
      </c>
      <c r="I795">
        <f>IF(
   COUNTIFS(
      Data[CustomerID], Data[[#This Row],[CustomerID]],
      Data[OrderDate], "&lt;" &amp; EOMONTH(Data[[#This Row],[OrderDate]], -1) + 1
   ) &gt; 0,
   1,
   0
)</f>
        <v>1</v>
      </c>
      <c r="J795">
        <f>YEAR(Data[[#This Row],[OrderDate]])</f>
        <v>2024</v>
      </c>
      <c r="K795" s="2">
        <f>MONTH(Data[[#This Row],[OrderDate]])</f>
        <v>6</v>
      </c>
    </row>
    <row r="796" spans="1:11" x14ac:dyDescent="0.25">
      <c r="A796">
        <v>1205</v>
      </c>
      <c r="B796">
        <v>85</v>
      </c>
      <c r="C796" s="1">
        <v>45472</v>
      </c>
      <c r="D796">
        <v>316.24</v>
      </c>
      <c r="E796" t="s">
        <v>13</v>
      </c>
      <c r="F796" t="s">
        <v>7</v>
      </c>
      <c r="G796">
        <f>COUNTIF(Data[CustomerID], Data[[#This Row],[CustomerID]])</f>
        <v>1</v>
      </c>
      <c r="H796" s="1" t="str">
        <f>TEXT(Data[OrderDate],"yyyy-mmm")</f>
        <v>2024-Jun</v>
      </c>
      <c r="I796">
        <f>IF(
   COUNTIFS(
      Data[CustomerID], Data[[#This Row],[CustomerID]],
      Data[OrderDate], "&lt;" &amp; EOMONTH(Data[[#This Row],[OrderDate]], -1) + 1
   ) &gt; 0,
   1,
   0
)</f>
        <v>0</v>
      </c>
      <c r="J796">
        <f>YEAR(Data[[#This Row],[OrderDate]])</f>
        <v>2024</v>
      </c>
      <c r="K796" s="2">
        <f>MONTH(Data[[#This Row],[OrderDate]])</f>
        <v>6</v>
      </c>
    </row>
    <row r="797" spans="1:11" x14ac:dyDescent="0.25">
      <c r="A797">
        <v>1052</v>
      </c>
      <c r="B797">
        <v>121</v>
      </c>
      <c r="C797" s="1">
        <v>45472</v>
      </c>
      <c r="D797">
        <v>159.51</v>
      </c>
      <c r="E797" t="s">
        <v>11</v>
      </c>
      <c r="F797" t="s">
        <v>7</v>
      </c>
      <c r="G797">
        <f>COUNTIF(Data[CustomerID], Data[[#This Row],[CustomerID]])</f>
        <v>3</v>
      </c>
      <c r="H797" s="1" t="str">
        <f>TEXT(Data[OrderDate],"yyyy-mmm")</f>
        <v>2024-Jun</v>
      </c>
      <c r="I797">
        <f>IF(
   COUNTIFS(
      Data[CustomerID], Data[[#This Row],[CustomerID]],
      Data[OrderDate], "&lt;" &amp; EOMONTH(Data[[#This Row],[OrderDate]], -1) + 1
   ) &gt; 0,
   1,
   0
)</f>
        <v>1</v>
      </c>
      <c r="J797">
        <f>YEAR(Data[[#This Row],[OrderDate]])</f>
        <v>2024</v>
      </c>
      <c r="K797" s="2">
        <f>MONTH(Data[[#This Row],[OrderDate]])</f>
        <v>6</v>
      </c>
    </row>
    <row r="798" spans="1:11" x14ac:dyDescent="0.25">
      <c r="A798">
        <v>1011</v>
      </c>
      <c r="B798">
        <v>717</v>
      </c>
      <c r="C798" s="1">
        <v>45472</v>
      </c>
      <c r="D798">
        <v>116.64</v>
      </c>
      <c r="E798" t="s">
        <v>9</v>
      </c>
      <c r="F798" t="s">
        <v>10</v>
      </c>
      <c r="G798">
        <f>COUNTIF(Data[CustomerID], Data[[#This Row],[CustomerID]])</f>
        <v>2</v>
      </c>
      <c r="H798" s="1" t="str">
        <f>TEXT(Data[OrderDate],"yyyy-mmm")</f>
        <v>2024-Jun</v>
      </c>
      <c r="I798">
        <f>IF(
   COUNTIFS(
      Data[CustomerID], Data[[#This Row],[CustomerID]],
      Data[OrderDate], "&lt;" &amp; EOMONTH(Data[[#This Row],[OrderDate]], -1) + 1
   ) &gt; 0,
   1,
   0
)</f>
        <v>1</v>
      </c>
      <c r="J798">
        <f>YEAR(Data[[#This Row],[OrderDate]])</f>
        <v>2024</v>
      </c>
      <c r="K798" s="2">
        <f>MONTH(Data[[#This Row],[OrderDate]])</f>
        <v>6</v>
      </c>
    </row>
    <row r="799" spans="1:11" x14ac:dyDescent="0.25">
      <c r="A799">
        <v>1080</v>
      </c>
      <c r="B799">
        <v>282</v>
      </c>
      <c r="C799" s="1">
        <v>45473</v>
      </c>
      <c r="D799">
        <v>96.69</v>
      </c>
      <c r="E799" t="s">
        <v>13</v>
      </c>
      <c r="F799" t="s">
        <v>16</v>
      </c>
      <c r="G799">
        <f>COUNTIF(Data[CustomerID], Data[[#This Row],[CustomerID]])</f>
        <v>2</v>
      </c>
      <c r="H799" s="1" t="str">
        <f>TEXT(Data[OrderDate],"yyyy-mmm")</f>
        <v>2024-Jun</v>
      </c>
      <c r="I799">
        <f>IF(
   COUNTIFS(
      Data[CustomerID], Data[[#This Row],[CustomerID]],
      Data[OrderDate], "&lt;" &amp; EOMONTH(Data[[#This Row],[OrderDate]], -1) + 1
   ) &gt; 0,
   1,
   0
)</f>
        <v>1</v>
      </c>
      <c r="J799">
        <f>YEAR(Data[[#This Row],[OrderDate]])</f>
        <v>2024</v>
      </c>
      <c r="K799" s="2">
        <f>MONTH(Data[[#This Row],[OrderDate]])</f>
        <v>6</v>
      </c>
    </row>
    <row r="800" spans="1:11" x14ac:dyDescent="0.25">
      <c r="A800">
        <v>1556</v>
      </c>
      <c r="B800">
        <v>220</v>
      </c>
      <c r="C800" s="1">
        <v>45474</v>
      </c>
      <c r="D800">
        <v>190.96</v>
      </c>
      <c r="E800" t="s">
        <v>9</v>
      </c>
      <c r="F800" t="s">
        <v>16</v>
      </c>
      <c r="G800">
        <f>COUNTIF(Data[CustomerID], Data[[#This Row],[CustomerID]])</f>
        <v>1</v>
      </c>
      <c r="H800" s="1" t="str">
        <f>TEXT(Data[OrderDate],"yyyy-mmm")</f>
        <v>2024-Jul</v>
      </c>
      <c r="I800">
        <f>IF(
   COUNTIFS(
      Data[CustomerID], Data[[#This Row],[CustomerID]],
      Data[OrderDate], "&lt;" &amp; EOMONTH(Data[[#This Row],[OrderDate]], -1) + 1
   ) &gt; 0,
   1,
   0
)</f>
        <v>0</v>
      </c>
      <c r="J800">
        <f>YEAR(Data[[#This Row],[OrderDate]])</f>
        <v>2024</v>
      </c>
      <c r="K800" s="2">
        <f>MONTH(Data[[#This Row],[OrderDate]])</f>
        <v>7</v>
      </c>
    </row>
    <row r="801" spans="1:11" x14ac:dyDescent="0.25">
      <c r="A801">
        <v>1175</v>
      </c>
      <c r="B801">
        <v>522</v>
      </c>
      <c r="C801" s="1">
        <v>45474</v>
      </c>
      <c r="D801">
        <v>413.44</v>
      </c>
      <c r="E801" t="s">
        <v>13</v>
      </c>
      <c r="F801" t="s">
        <v>18</v>
      </c>
      <c r="G801">
        <f>COUNTIF(Data[CustomerID], Data[[#This Row],[CustomerID]])</f>
        <v>1</v>
      </c>
      <c r="H801" s="1" t="str">
        <f>TEXT(Data[OrderDate],"yyyy-mmm")</f>
        <v>2024-Jul</v>
      </c>
      <c r="I801">
        <f>IF(
   COUNTIFS(
      Data[CustomerID], Data[[#This Row],[CustomerID]],
      Data[OrderDate], "&lt;" &amp; EOMONTH(Data[[#This Row],[OrderDate]], -1) + 1
   ) &gt; 0,
   1,
   0
)</f>
        <v>0</v>
      </c>
      <c r="J801">
        <f>YEAR(Data[[#This Row],[OrderDate]])</f>
        <v>2024</v>
      </c>
      <c r="K801" s="2">
        <f>MONTH(Data[[#This Row],[OrderDate]])</f>
        <v>7</v>
      </c>
    </row>
    <row r="802" spans="1:11" x14ac:dyDescent="0.25">
      <c r="A802">
        <v>1640</v>
      </c>
      <c r="B802">
        <v>615</v>
      </c>
      <c r="C802" s="1">
        <v>45474</v>
      </c>
      <c r="D802">
        <v>380.3</v>
      </c>
      <c r="E802" t="s">
        <v>20</v>
      </c>
      <c r="F802" t="s">
        <v>10</v>
      </c>
      <c r="G802">
        <f>COUNTIF(Data[CustomerID], Data[[#This Row],[CustomerID]])</f>
        <v>2</v>
      </c>
      <c r="H802" s="1" t="str">
        <f>TEXT(Data[OrderDate],"yyyy-mmm")</f>
        <v>2024-Jul</v>
      </c>
      <c r="I802">
        <f>IF(
   COUNTIFS(
      Data[CustomerID], Data[[#This Row],[CustomerID]],
      Data[OrderDate], "&lt;" &amp; EOMONTH(Data[[#This Row],[OrderDate]], -1) + 1
   ) &gt; 0,
   1,
   0
)</f>
        <v>0</v>
      </c>
      <c r="J802">
        <f>YEAR(Data[[#This Row],[OrderDate]])</f>
        <v>2024</v>
      </c>
      <c r="K802" s="2">
        <f>MONTH(Data[[#This Row],[OrderDate]])</f>
        <v>7</v>
      </c>
    </row>
    <row r="803" spans="1:11" x14ac:dyDescent="0.25">
      <c r="A803">
        <v>1648</v>
      </c>
      <c r="B803">
        <v>252</v>
      </c>
      <c r="C803" s="1">
        <v>45476</v>
      </c>
      <c r="D803">
        <v>263.01</v>
      </c>
      <c r="E803" t="s">
        <v>17</v>
      </c>
      <c r="F803" t="s">
        <v>10</v>
      </c>
      <c r="G803">
        <f>COUNTIF(Data[CustomerID], Data[[#This Row],[CustomerID]])</f>
        <v>1</v>
      </c>
      <c r="H803" s="1" t="str">
        <f>TEXT(Data[OrderDate],"yyyy-mmm")</f>
        <v>2024-Jul</v>
      </c>
      <c r="I803">
        <f>IF(
   COUNTIFS(
      Data[CustomerID], Data[[#This Row],[CustomerID]],
      Data[OrderDate], "&lt;" &amp; EOMONTH(Data[[#This Row],[OrderDate]], -1) + 1
   ) &gt; 0,
   1,
   0
)</f>
        <v>0</v>
      </c>
      <c r="J803">
        <f>YEAR(Data[[#This Row],[OrderDate]])</f>
        <v>2024</v>
      </c>
      <c r="K803" s="2">
        <f>MONTH(Data[[#This Row],[OrderDate]])</f>
        <v>7</v>
      </c>
    </row>
    <row r="804" spans="1:11" x14ac:dyDescent="0.25">
      <c r="A804">
        <v>1496</v>
      </c>
      <c r="B804">
        <v>270</v>
      </c>
      <c r="C804" s="1">
        <v>45476</v>
      </c>
      <c r="D804">
        <v>49.37</v>
      </c>
      <c r="E804" t="s">
        <v>9</v>
      </c>
      <c r="F804" t="s">
        <v>7</v>
      </c>
      <c r="G804">
        <f>COUNTIF(Data[CustomerID], Data[[#This Row],[CustomerID]])</f>
        <v>3</v>
      </c>
      <c r="H804" s="1" t="str">
        <f>TEXT(Data[OrderDate],"yyyy-mmm")</f>
        <v>2024-Jul</v>
      </c>
      <c r="I804">
        <f>IF(
   COUNTIFS(
      Data[CustomerID], Data[[#This Row],[CustomerID]],
      Data[OrderDate], "&lt;" &amp; EOMONTH(Data[[#This Row],[OrderDate]], -1) + 1
   ) &gt; 0,
   1,
   0
)</f>
        <v>1</v>
      </c>
      <c r="J804">
        <f>YEAR(Data[[#This Row],[OrderDate]])</f>
        <v>2024</v>
      </c>
      <c r="K804" s="2">
        <f>MONTH(Data[[#This Row],[OrderDate]])</f>
        <v>7</v>
      </c>
    </row>
    <row r="805" spans="1:11" x14ac:dyDescent="0.25">
      <c r="A805">
        <v>1345</v>
      </c>
      <c r="B805">
        <v>335</v>
      </c>
      <c r="C805" s="1">
        <v>45476</v>
      </c>
      <c r="D805">
        <v>453.23</v>
      </c>
      <c r="E805" t="s">
        <v>6</v>
      </c>
      <c r="F805" t="s">
        <v>16</v>
      </c>
      <c r="G805">
        <f>COUNTIF(Data[CustomerID], Data[[#This Row],[CustomerID]])</f>
        <v>4</v>
      </c>
      <c r="H805" s="1" t="str">
        <f>TEXT(Data[OrderDate],"yyyy-mmm")</f>
        <v>2024-Jul</v>
      </c>
      <c r="I805">
        <f>IF(
   COUNTIFS(
      Data[CustomerID], Data[[#This Row],[CustomerID]],
      Data[OrderDate], "&lt;" &amp; EOMONTH(Data[[#This Row],[OrderDate]], -1) + 1
   ) &gt; 0,
   1,
   0
)</f>
        <v>1</v>
      </c>
      <c r="J805">
        <f>YEAR(Data[[#This Row],[OrderDate]])</f>
        <v>2024</v>
      </c>
      <c r="K805" s="2">
        <f>MONTH(Data[[#This Row],[OrderDate]])</f>
        <v>7</v>
      </c>
    </row>
    <row r="806" spans="1:11" x14ac:dyDescent="0.25">
      <c r="A806">
        <v>1896</v>
      </c>
      <c r="B806">
        <v>369</v>
      </c>
      <c r="C806" s="1">
        <v>45476</v>
      </c>
      <c r="D806">
        <v>411.79</v>
      </c>
      <c r="E806" t="s">
        <v>8</v>
      </c>
      <c r="F806" t="s">
        <v>10</v>
      </c>
      <c r="G806">
        <f>COUNTIF(Data[CustomerID], Data[[#This Row],[CustomerID]])</f>
        <v>2</v>
      </c>
      <c r="H806" s="1" t="str">
        <f>TEXT(Data[OrderDate],"yyyy-mmm")</f>
        <v>2024-Jul</v>
      </c>
      <c r="I806">
        <f>IF(
   COUNTIFS(
      Data[CustomerID], Data[[#This Row],[CustomerID]],
      Data[OrderDate], "&lt;" &amp; EOMONTH(Data[[#This Row],[OrderDate]], -1) + 1
   ) &gt; 0,
   1,
   0
)</f>
        <v>1</v>
      </c>
      <c r="J806">
        <f>YEAR(Data[[#This Row],[OrderDate]])</f>
        <v>2024</v>
      </c>
      <c r="K806" s="2">
        <f>MONTH(Data[[#This Row],[OrderDate]])</f>
        <v>7</v>
      </c>
    </row>
    <row r="807" spans="1:11" x14ac:dyDescent="0.25">
      <c r="A807">
        <v>1681</v>
      </c>
      <c r="B807">
        <v>43</v>
      </c>
      <c r="C807" s="1">
        <v>45477</v>
      </c>
      <c r="D807">
        <v>152.91999999999999</v>
      </c>
      <c r="E807" t="s">
        <v>13</v>
      </c>
      <c r="F807" t="s">
        <v>18</v>
      </c>
      <c r="G807">
        <f>COUNTIF(Data[CustomerID], Data[[#This Row],[CustomerID]])</f>
        <v>4</v>
      </c>
      <c r="H807" s="1" t="str">
        <f>TEXT(Data[OrderDate],"yyyy-mmm")</f>
        <v>2024-Jul</v>
      </c>
      <c r="I807">
        <f>IF(
   COUNTIFS(
      Data[CustomerID], Data[[#This Row],[CustomerID]],
      Data[OrderDate], "&lt;" &amp; EOMONTH(Data[[#This Row],[OrderDate]], -1) + 1
   ) &gt; 0,
   1,
   0
)</f>
        <v>1</v>
      </c>
      <c r="J807">
        <f>YEAR(Data[[#This Row],[OrderDate]])</f>
        <v>2024</v>
      </c>
      <c r="K807" s="2">
        <f>MONTH(Data[[#This Row],[OrderDate]])</f>
        <v>7</v>
      </c>
    </row>
    <row r="808" spans="1:11" x14ac:dyDescent="0.25">
      <c r="A808">
        <v>1786</v>
      </c>
      <c r="B808">
        <v>873</v>
      </c>
      <c r="C808" s="1">
        <v>45477</v>
      </c>
      <c r="D808">
        <v>19.54</v>
      </c>
      <c r="E808" t="s">
        <v>20</v>
      </c>
      <c r="F808" t="s">
        <v>19</v>
      </c>
      <c r="G808">
        <f>COUNTIF(Data[CustomerID], Data[[#This Row],[CustomerID]])</f>
        <v>2</v>
      </c>
      <c r="H808" s="1" t="str">
        <f>TEXT(Data[OrderDate],"yyyy-mmm")</f>
        <v>2024-Jul</v>
      </c>
      <c r="I808">
        <f>IF(
   COUNTIFS(
      Data[CustomerID], Data[[#This Row],[CustomerID]],
      Data[OrderDate], "&lt;" &amp; EOMONTH(Data[[#This Row],[OrderDate]], -1) + 1
   ) &gt; 0,
   1,
   0
)</f>
        <v>0</v>
      </c>
      <c r="J808">
        <f>YEAR(Data[[#This Row],[OrderDate]])</f>
        <v>2024</v>
      </c>
      <c r="K808" s="2">
        <f>MONTH(Data[[#This Row],[OrderDate]])</f>
        <v>7</v>
      </c>
    </row>
    <row r="809" spans="1:11" x14ac:dyDescent="0.25">
      <c r="A809">
        <v>1353</v>
      </c>
      <c r="B809">
        <v>550</v>
      </c>
      <c r="C809" s="1">
        <v>45478</v>
      </c>
      <c r="D809">
        <v>416.11</v>
      </c>
      <c r="E809" t="s">
        <v>17</v>
      </c>
      <c r="F809" t="s">
        <v>12</v>
      </c>
      <c r="G809">
        <f>COUNTIF(Data[CustomerID], Data[[#This Row],[CustomerID]])</f>
        <v>1</v>
      </c>
      <c r="H809" s="1" t="str">
        <f>TEXT(Data[OrderDate],"yyyy-mmm")</f>
        <v>2024-Jul</v>
      </c>
      <c r="I809">
        <f>IF(
   COUNTIFS(
      Data[CustomerID], Data[[#This Row],[CustomerID]],
      Data[OrderDate], "&lt;" &amp; EOMONTH(Data[[#This Row],[OrderDate]], -1) + 1
   ) &gt; 0,
   1,
   0
)</f>
        <v>0</v>
      </c>
      <c r="J809">
        <f>YEAR(Data[[#This Row],[OrderDate]])</f>
        <v>2024</v>
      </c>
      <c r="K809" s="2">
        <f>MONTH(Data[[#This Row],[OrderDate]])</f>
        <v>7</v>
      </c>
    </row>
    <row r="810" spans="1:11" x14ac:dyDescent="0.25">
      <c r="A810">
        <v>1891</v>
      </c>
      <c r="B810">
        <v>192</v>
      </c>
      <c r="C810" s="1">
        <v>45480</v>
      </c>
      <c r="D810">
        <v>432.98</v>
      </c>
      <c r="E810" t="s">
        <v>13</v>
      </c>
      <c r="F810" t="s">
        <v>19</v>
      </c>
      <c r="G810">
        <f>COUNTIF(Data[CustomerID], Data[[#This Row],[CustomerID]])</f>
        <v>2</v>
      </c>
      <c r="H810" s="1" t="str">
        <f>TEXT(Data[OrderDate],"yyyy-mmm")</f>
        <v>2024-Jul</v>
      </c>
      <c r="I810">
        <f>IF(
   COUNTIFS(
      Data[CustomerID], Data[[#This Row],[CustomerID]],
      Data[OrderDate], "&lt;" &amp; EOMONTH(Data[[#This Row],[OrderDate]], -1) + 1
   ) &gt; 0,
   1,
   0
)</f>
        <v>1</v>
      </c>
      <c r="J810">
        <f>YEAR(Data[[#This Row],[OrderDate]])</f>
        <v>2024</v>
      </c>
      <c r="K810" s="2">
        <f>MONTH(Data[[#This Row],[OrderDate]])</f>
        <v>7</v>
      </c>
    </row>
    <row r="811" spans="1:11" x14ac:dyDescent="0.25">
      <c r="A811">
        <v>1123</v>
      </c>
      <c r="B811">
        <v>324</v>
      </c>
      <c r="C811" s="1">
        <v>45480</v>
      </c>
      <c r="D811">
        <v>140.9</v>
      </c>
      <c r="E811" t="s">
        <v>20</v>
      </c>
      <c r="F811" t="s">
        <v>19</v>
      </c>
      <c r="G811">
        <f>COUNTIF(Data[CustomerID], Data[[#This Row],[CustomerID]])</f>
        <v>1</v>
      </c>
      <c r="H811" s="1" t="str">
        <f>TEXT(Data[OrderDate],"yyyy-mmm")</f>
        <v>2024-Jul</v>
      </c>
      <c r="I811">
        <f>IF(
   COUNTIFS(
      Data[CustomerID], Data[[#This Row],[CustomerID]],
      Data[OrderDate], "&lt;" &amp; EOMONTH(Data[[#This Row],[OrderDate]], -1) + 1
   ) &gt; 0,
   1,
   0
)</f>
        <v>0</v>
      </c>
      <c r="J811">
        <f>YEAR(Data[[#This Row],[OrderDate]])</f>
        <v>2024</v>
      </c>
      <c r="K811" s="2">
        <f>MONTH(Data[[#This Row],[OrderDate]])</f>
        <v>7</v>
      </c>
    </row>
    <row r="812" spans="1:11" x14ac:dyDescent="0.25">
      <c r="A812">
        <v>1028</v>
      </c>
      <c r="B812">
        <v>853</v>
      </c>
      <c r="C812" s="1">
        <v>45483</v>
      </c>
      <c r="D812">
        <v>367.65</v>
      </c>
      <c r="E812" t="s">
        <v>6</v>
      </c>
      <c r="F812" t="s">
        <v>12</v>
      </c>
      <c r="G812">
        <f>COUNTIF(Data[CustomerID], Data[[#This Row],[CustomerID]])</f>
        <v>1</v>
      </c>
      <c r="H812" s="1" t="str">
        <f>TEXT(Data[OrderDate],"yyyy-mmm")</f>
        <v>2024-Jul</v>
      </c>
      <c r="I812">
        <f>IF(
   COUNTIFS(
      Data[CustomerID], Data[[#This Row],[CustomerID]],
      Data[OrderDate], "&lt;" &amp; EOMONTH(Data[[#This Row],[OrderDate]], -1) + 1
   ) &gt; 0,
   1,
   0
)</f>
        <v>0</v>
      </c>
      <c r="J812">
        <f>YEAR(Data[[#This Row],[OrderDate]])</f>
        <v>2024</v>
      </c>
      <c r="K812" s="2">
        <f>MONTH(Data[[#This Row],[OrderDate]])</f>
        <v>7</v>
      </c>
    </row>
    <row r="813" spans="1:11" x14ac:dyDescent="0.25">
      <c r="A813">
        <v>1510</v>
      </c>
      <c r="B813">
        <v>864</v>
      </c>
      <c r="C813" s="1">
        <v>45483</v>
      </c>
      <c r="D813">
        <v>65.599999999999994</v>
      </c>
      <c r="E813" t="s">
        <v>6</v>
      </c>
      <c r="F813" t="s">
        <v>14</v>
      </c>
      <c r="G813">
        <f>COUNTIF(Data[CustomerID], Data[[#This Row],[CustomerID]])</f>
        <v>4</v>
      </c>
      <c r="H813" s="1" t="str">
        <f>TEXT(Data[OrderDate],"yyyy-mmm")</f>
        <v>2024-Jul</v>
      </c>
      <c r="I813">
        <f>IF(
   COUNTIFS(
      Data[CustomerID], Data[[#This Row],[CustomerID]],
      Data[OrderDate], "&lt;" &amp; EOMONTH(Data[[#This Row],[OrderDate]], -1) + 1
   ) &gt; 0,
   1,
   0
)</f>
        <v>1</v>
      </c>
      <c r="J813">
        <f>YEAR(Data[[#This Row],[OrderDate]])</f>
        <v>2024</v>
      </c>
      <c r="K813" s="2">
        <f>MONTH(Data[[#This Row],[OrderDate]])</f>
        <v>7</v>
      </c>
    </row>
    <row r="814" spans="1:11" x14ac:dyDescent="0.25">
      <c r="A814">
        <v>1935</v>
      </c>
      <c r="B814">
        <v>590</v>
      </c>
      <c r="C814" s="1">
        <v>45484</v>
      </c>
      <c r="D814">
        <v>337.37</v>
      </c>
      <c r="E814" t="s">
        <v>6</v>
      </c>
      <c r="F814" t="s">
        <v>14</v>
      </c>
      <c r="G814">
        <f>COUNTIF(Data[CustomerID], Data[[#This Row],[CustomerID]])</f>
        <v>2</v>
      </c>
      <c r="H814" s="1" t="str">
        <f>TEXT(Data[OrderDate],"yyyy-mmm")</f>
        <v>2024-Jul</v>
      </c>
      <c r="I814">
        <f>IF(
   COUNTIFS(
      Data[CustomerID], Data[[#This Row],[CustomerID]],
      Data[OrderDate], "&lt;" &amp; EOMONTH(Data[[#This Row],[OrderDate]], -1) + 1
   ) &gt; 0,
   1,
   0
)</f>
        <v>0</v>
      </c>
      <c r="J814">
        <f>YEAR(Data[[#This Row],[OrderDate]])</f>
        <v>2024</v>
      </c>
      <c r="K814" s="2">
        <f>MONTH(Data[[#This Row],[OrderDate]])</f>
        <v>7</v>
      </c>
    </row>
    <row r="815" spans="1:11" x14ac:dyDescent="0.25">
      <c r="A815">
        <v>1389</v>
      </c>
      <c r="B815">
        <v>988</v>
      </c>
      <c r="C815" s="1">
        <v>45484</v>
      </c>
      <c r="D815">
        <v>246.75</v>
      </c>
      <c r="E815" t="s">
        <v>15</v>
      </c>
      <c r="F815" t="s">
        <v>7</v>
      </c>
      <c r="G815">
        <f>COUNTIF(Data[CustomerID], Data[[#This Row],[CustomerID]])</f>
        <v>2</v>
      </c>
      <c r="H815" s="1" t="str">
        <f>TEXT(Data[OrderDate],"yyyy-mmm")</f>
        <v>2024-Jul</v>
      </c>
      <c r="I815">
        <f>IF(
   COUNTIFS(
      Data[CustomerID], Data[[#This Row],[CustomerID]],
      Data[OrderDate], "&lt;" &amp; EOMONTH(Data[[#This Row],[OrderDate]], -1) + 1
   ) &gt; 0,
   1,
   0
)</f>
        <v>0</v>
      </c>
      <c r="J815">
        <f>YEAR(Data[[#This Row],[OrderDate]])</f>
        <v>2024</v>
      </c>
      <c r="K815" s="2">
        <f>MONTH(Data[[#This Row],[OrderDate]])</f>
        <v>7</v>
      </c>
    </row>
    <row r="816" spans="1:11" x14ac:dyDescent="0.25">
      <c r="A816">
        <v>1258</v>
      </c>
      <c r="B816">
        <v>247</v>
      </c>
      <c r="C816" s="1">
        <v>45485</v>
      </c>
      <c r="D816">
        <v>240.96</v>
      </c>
      <c r="E816" t="s">
        <v>6</v>
      </c>
      <c r="F816" t="s">
        <v>19</v>
      </c>
      <c r="G816">
        <f>COUNTIF(Data[CustomerID], Data[[#This Row],[CustomerID]])</f>
        <v>2</v>
      </c>
      <c r="H816" s="1" t="str">
        <f>TEXT(Data[OrderDate],"yyyy-mmm")</f>
        <v>2024-Jul</v>
      </c>
      <c r="I816">
        <f>IF(
   COUNTIFS(
      Data[CustomerID], Data[[#This Row],[CustomerID]],
      Data[OrderDate], "&lt;" &amp; EOMONTH(Data[[#This Row],[OrderDate]], -1) + 1
   ) &gt; 0,
   1,
   0
)</f>
        <v>1</v>
      </c>
      <c r="J816">
        <f>YEAR(Data[[#This Row],[OrderDate]])</f>
        <v>2024</v>
      </c>
      <c r="K816" s="2">
        <f>MONTH(Data[[#This Row],[OrderDate]])</f>
        <v>7</v>
      </c>
    </row>
    <row r="817" spans="1:11" x14ac:dyDescent="0.25">
      <c r="A817">
        <v>1608</v>
      </c>
      <c r="B817">
        <v>451</v>
      </c>
      <c r="C817" s="1">
        <v>45487</v>
      </c>
      <c r="D817">
        <v>284.39999999999998</v>
      </c>
      <c r="E817" t="s">
        <v>9</v>
      </c>
      <c r="F817" t="s">
        <v>10</v>
      </c>
      <c r="G817">
        <f>COUNTIF(Data[CustomerID], Data[[#This Row],[CustomerID]])</f>
        <v>2</v>
      </c>
      <c r="H817" s="1" t="str">
        <f>TEXT(Data[OrderDate],"yyyy-mmm")</f>
        <v>2024-Jul</v>
      </c>
      <c r="I817">
        <f>IF(
   COUNTIFS(
      Data[CustomerID], Data[[#This Row],[CustomerID]],
      Data[OrderDate], "&lt;" &amp; EOMONTH(Data[[#This Row],[OrderDate]], -1) + 1
   ) &gt; 0,
   1,
   0
)</f>
        <v>1</v>
      </c>
      <c r="J817">
        <f>YEAR(Data[[#This Row],[OrderDate]])</f>
        <v>2024</v>
      </c>
      <c r="K817" s="2">
        <f>MONTH(Data[[#This Row],[OrderDate]])</f>
        <v>7</v>
      </c>
    </row>
    <row r="818" spans="1:11" x14ac:dyDescent="0.25">
      <c r="A818">
        <v>1731</v>
      </c>
      <c r="B818">
        <v>981</v>
      </c>
      <c r="C818" s="1">
        <v>45488</v>
      </c>
      <c r="D818">
        <v>217.45</v>
      </c>
      <c r="E818" t="s">
        <v>6</v>
      </c>
      <c r="F818" t="s">
        <v>7</v>
      </c>
      <c r="G818">
        <f>COUNTIF(Data[CustomerID], Data[[#This Row],[CustomerID]])</f>
        <v>2</v>
      </c>
      <c r="H818" s="1" t="str">
        <f>TEXT(Data[OrderDate],"yyyy-mmm")</f>
        <v>2024-Jul</v>
      </c>
      <c r="I818">
        <f>IF(
   COUNTIFS(
      Data[CustomerID], Data[[#This Row],[CustomerID]],
      Data[OrderDate], "&lt;" &amp; EOMONTH(Data[[#This Row],[OrderDate]], -1) + 1
   ) &gt; 0,
   1,
   0
)</f>
        <v>1</v>
      </c>
      <c r="J818">
        <f>YEAR(Data[[#This Row],[OrderDate]])</f>
        <v>2024</v>
      </c>
      <c r="K818" s="2">
        <f>MONTH(Data[[#This Row],[OrderDate]])</f>
        <v>7</v>
      </c>
    </row>
    <row r="819" spans="1:11" x14ac:dyDescent="0.25">
      <c r="A819">
        <v>1091</v>
      </c>
      <c r="B819">
        <v>76</v>
      </c>
      <c r="C819" s="1">
        <v>45489</v>
      </c>
      <c r="D819">
        <v>204.61</v>
      </c>
      <c r="E819" t="s">
        <v>8</v>
      </c>
      <c r="F819" t="s">
        <v>12</v>
      </c>
      <c r="G819">
        <f>COUNTIF(Data[CustomerID], Data[[#This Row],[CustomerID]])</f>
        <v>2</v>
      </c>
      <c r="H819" s="1" t="str">
        <f>TEXT(Data[OrderDate],"yyyy-mmm")</f>
        <v>2024-Jul</v>
      </c>
      <c r="I819">
        <f>IF(
   COUNTIFS(
      Data[CustomerID], Data[[#This Row],[CustomerID]],
      Data[OrderDate], "&lt;" &amp; EOMONTH(Data[[#This Row],[OrderDate]], -1) + 1
   ) &gt; 0,
   1,
   0
)</f>
        <v>1</v>
      </c>
      <c r="J819">
        <f>YEAR(Data[[#This Row],[OrderDate]])</f>
        <v>2024</v>
      </c>
      <c r="K819" s="2">
        <f>MONTH(Data[[#This Row],[OrderDate]])</f>
        <v>7</v>
      </c>
    </row>
    <row r="820" spans="1:11" x14ac:dyDescent="0.25">
      <c r="A820">
        <v>1735</v>
      </c>
      <c r="B820">
        <v>765</v>
      </c>
      <c r="C820" s="1">
        <v>45490</v>
      </c>
      <c r="D820">
        <v>314.08999999999997</v>
      </c>
      <c r="E820" t="s">
        <v>11</v>
      </c>
      <c r="F820" t="s">
        <v>16</v>
      </c>
      <c r="G820">
        <f>COUNTIF(Data[CustomerID], Data[[#This Row],[CustomerID]])</f>
        <v>3</v>
      </c>
      <c r="H820" s="1" t="str">
        <f>TEXT(Data[OrderDate],"yyyy-mmm")</f>
        <v>2024-Jul</v>
      </c>
      <c r="I820">
        <f>IF(
   COUNTIFS(
      Data[CustomerID], Data[[#This Row],[CustomerID]],
      Data[OrderDate], "&lt;" &amp; EOMONTH(Data[[#This Row],[OrderDate]], -1) + 1
   ) &gt; 0,
   1,
   0
)</f>
        <v>1</v>
      </c>
      <c r="J820">
        <f>YEAR(Data[[#This Row],[OrderDate]])</f>
        <v>2024</v>
      </c>
      <c r="K820" s="2">
        <f>MONTH(Data[[#This Row],[OrderDate]])</f>
        <v>7</v>
      </c>
    </row>
    <row r="821" spans="1:11" x14ac:dyDescent="0.25">
      <c r="A821">
        <v>1491</v>
      </c>
      <c r="B821">
        <v>25</v>
      </c>
      <c r="C821" s="1">
        <v>45491</v>
      </c>
      <c r="D821">
        <v>269.45</v>
      </c>
      <c r="E821" t="s">
        <v>9</v>
      </c>
      <c r="F821" t="s">
        <v>14</v>
      </c>
      <c r="G821">
        <f>COUNTIF(Data[CustomerID], Data[[#This Row],[CustomerID]])</f>
        <v>2</v>
      </c>
      <c r="H821" s="1" t="str">
        <f>TEXT(Data[OrderDate],"yyyy-mmm")</f>
        <v>2024-Jul</v>
      </c>
      <c r="I821">
        <f>IF(
   COUNTIFS(
      Data[CustomerID], Data[[#This Row],[CustomerID]],
      Data[OrderDate], "&lt;" &amp; EOMONTH(Data[[#This Row],[OrderDate]], -1) + 1
   ) &gt; 0,
   1,
   0
)</f>
        <v>0</v>
      </c>
      <c r="J821">
        <f>YEAR(Data[[#This Row],[OrderDate]])</f>
        <v>2024</v>
      </c>
      <c r="K821" s="2">
        <f>MONTH(Data[[#This Row],[OrderDate]])</f>
        <v>7</v>
      </c>
    </row>
    <row r="822" spans="1:11" x14ac:dyDescent="0.25">
      <c r="A822">
        <v>1860</v>
      </c>
      <c r="B822">
        <v>404</v>
      </c>
      <c r="C822" s="1">
        <v>45493</v>
      </c>
      <c r="D822">
        <v>285.45</v>
      </c>
      <c r="E822" t="s">
        <v>17</v>
      </c>
      <c r="F822" t="s">
        <v>12</v>
      </c>
      <c r="G822">
        <f>COUNTIF(Data[CustomerID], Data[[#This Row],[CustomerID]])</f>
        <v>3</v>
      </c>
      <c r="H822" s="1" t="str">
        <f>TEXT(Data[OrderDate],"yyyy-mmm")</f>
        <v>2024-Jul</v>
      </c>
      <c r="I822">
        <f>IF(
   COUNTIFS(
      Data[CustomerID], Data[[#This Row],[CustomerID]],
      Data[OrderDate], "&lt;" &amp; EOMONTH(Data[[#This Row],[OrderDate]], -1) + 1
   ) &gt; 0,
   1,
   0
)</f>
        <v>1</v>
      </c>
      <c r="J822">
        <f>YEAR(Data[[#This Row],[OrderDate]])</f>
        <v>2024</v>
      </c>
      <c r="K822" s="2">
        <f>MONTH(Data[[#This Row],[OrderDate]])</f>
        <v>7</v>
      </c>
    </row>
    <row r="823" spans="1:11" x14ac:dyDescent="0.25">
      <c r="A823">
        <v>1491</v>
      </c>
      <c r="B823">
        <v>838</v>
      </c>
      <c r="C823" s="1">
        <v>45494</v>
      </c>
      <c r="D823">
        <v>323.12</v>
      </c>
      <c r="E823" t="s">
        <v>9</v>
      </c>
      <c r="F823" t="s">
        <v>18</v>
      </c>
      <c r="G823">
        <f>COUNTIF(Data[CustomerID], Data[[#This Row],[CustomerID]])</f>
        <v>2</v>
      </c>
      <c r="H823" s="1" t="str">
        <f>TEXT(Data[OrderDate],"yyyy-mmm")</f>
        <v>2024-Jul</v>
      </c>
      <c r="I823">
        <f>IF(
   COUNTIFS(
      Data[CustomerID], Data[[#This Row],[CustomerID]],
      Data[OrderDate], "&lt;" &amp; EOMONTH(Data[[#This Row],[OrderDate]], -1) + 1
   ) &gt; 0,
   1,
   0
)</f>
        <v>0</v>
      </c>
      <c r="J823">
        <f>YEAR(Data[[#This Row],[OrderDate]])</f>
        <v>2024</v>
      </c>
      <c r="K823" s="2">
        <f>MONTH(Data[[#This Row],[OrderDate]])</f>
        <v>7</v>
      </c>
    </row>
    <row r="824" spans="1:11" x14ac:dyDescent="0.25">
      <c r="A824">
        <v>1046</v>
      </c>
      <c r="B824">
        <v>651</v>
      </c>
      <c r="C824" s="1">
        <v>45495</v>
      </c>
      <c r="D824">
        <v>253.51</v>
      </c>
      <c r="E824" t="s">
        <v>9</v>
      </c>
      <c r="F824" t="s">
        <v>18</v>
      </c>
      <c r="G824">
        <f>COUNTIF(Data[CustomerID], Data[[#This Row],[CustomerID]])</f>
        <v>3</v>
      </c>
      <c r="H824" s="1" t="str">
        <f>TEXT(Data[OrderDate],"yyyy-mmm")</f>
        <v>2024-Jul</v>
      </c>
      <c r="I824">
        <f>IF(
   COUNTIFS(
      Data[CustomerID], Data[[#This Row],[CustomerID]],
      Data[OrderDate], "&lt;" &amp; EOMONTH(Data[[#This Row],[OrderDate]], -1) + 1
   ) &gt; 0,
   1,
   0
)</f>
        <v>1</v>
      </c>
      <c r="J824">
        <f>YEAR(Data[[#This Row],[OrderDate]])</f>
        <v>2024</v>
      </c>
      <c r="K824" s="2">
        <f>MONTH(Data[[#This Row],[OrderDate]])</f>
        <v>7</v>
      </c>
    </row>
    <row r="825" spans="1:11" x14ac:dyDescent="0.25">
      <c r="A825">
        <v>1401</v>
      </c>
      <c r="B825">
        <v>932</v>
      </c>
      <c r="C825" s="1">
        <v>45496</v>
      </c>
      <c r="D825">
        <v>5.09</v>
      </c>
      <c r="E825" t="s">
        <v>17</v>
      </c>
      <c r="F825" t="s">
        <v>16</v>
      </c>
      <c r="G825">
        <f>COUNTIF(Data[CustomerID], Data[[#This Row],[CustomerID]])</f>
        <v>2</v>
      </c>
      <c r="H825" s="1" t="str">
        <f>TEXT(Data[OrderDate],"yyyy-mmm")</f>
        <v>2024-Jul</v>
      </c>
      <c r="I825">
        <f>IF(
   COUNTIFS(
      Data[CustomerID], Data[[#This Row],[CustomerID]],
      Data[OrderDate], "&lt;" &amp; EOMONTH(Data[[#This Row],[OrderDate]], -1) + 1
   ) &gt; 0,
   1,
   0
)</f>
        <v>1</v>
      </c>
      <c r="J825">
        <f>YEAR(Data[[#This Row],[OrderDate]])</f>
        <v>2024</v>
      </c>
      <c r="K825" s="2">
        <f>MONTH(Data[[#This Row],[OrderDate]])</f>
        <v>7</v>
      </c>
    </row>
    <row r="826" spans="1:11" x14ac:dyDescent="0.25">
      <c r="A826">
        <v>1089</v>
      </c>
      <c r="B826">
        <v>962</v>
      </c>
      <c r="C826" s="1">
        <v>45496</v>
      </c>
      <c r="D826">
        <v>135.34</v>
      </c>
      <c r="E826" t="s">
        <v>9</v>
      </c>
      <c r="F826" t="s">
        <v>14</v>
      </c>
      <c r="G826">
        <f>COUNTIF(Data[CustomerID], Data[[#This Row],[CustomerID]])</f>
        <v>2</v>
      </c>
      <c r="H826" s="1" t="str">
        <f>TEXT(Data[OrderDate],"yyyy-mmm")</f>
        <v>2024-Jul</v>
      </c>
      <c r="I826">
        <f>IF(
   COUNTIFS(
      Data[CustomerID], Data[[#This Row],[CustomerID]],
      Data[OrderDate], "&lt;" &amp; EOMONTH(Data[[#This Row],[OrderDate]], -1) + 1
   ) &gt; 0,
   1,
   0
)</f>
        <v>1</v>
      </c>
      <c r="J826">
        <f>YEAR(Data[[#This Row],[OrderDate]])</f>
        <v>2024</v>
      </c>
      <c r="K826" s="2">
        <f>MONTH(Data[[#This Row],[OrderDate]])</f>
        <v>7</v>
      </c>
    </row>
    <row r="827" spans="1:11" x14ac:dyDescent="0.25">
      <c r="A827">
        <v>1022</v>
      </c>
      <c r="B827">
        <v>668</v>
      </c>
      <c r="C827" s="1">
        <v>45497</v>
      </c>
      <c r="D827">
        <v>363.09</v>
      </c>
      <c r="E827" t="s">
        <v>20</v>
      </c>
      <c r="F827" t="s">
        <v>10</v>
      </c>
      <c r="G827">
        <f>COUNTIF(Data[CustomerID], Data[[#This Row],[CustomerID]])</f>
        <v>1</v>
      </c>
      <c r="H827" s="1" t="str">
        <f>TEXT(Data[OrderDate],"yyyy-mmm")</f>
        <v>2024-Jul</v>
      </c>
      <c r="I827">
        <f>IF(
   COUNTIFS(
      Data[CustomerID], Data[[#This Row],[CustomerID]],
      Data[OrderDate], "&lt;" &amp; EOMONTH(Data[[#This Row],[OrderDate]], -1) + 1
   ) &gt; 0,
   1,
   0
)</f>
        <v>0</v>
      </c>
      <c r="J827">
        <f>YEAR(Data[[#This Row],[OrderDate]])</f>
        <v>2024</v>
      </c>
      <c r="K827" s="2">
        <f>MONTH(Data[[#This Row],[OrderDate]])</f>
        <v>7</v>
      </c>
    </row>
    <row r="828" spans="1:11" x14ac:dyDescent="0.25">
      <c r="A828">
        <v>1036</v>
      </c>
      <c r="B828">
        <v>766</v>
      </c>
      <c r="C828" s="1">
        <v>45497</v>
      </c>
      <c r="D828">
        <v>249.77</v>
      </c>
      <c r="E828" t="s">
        <v>8</v>
      </c>
      <c r="F828" t="s">
        <v>10</v>
      </c>
      <c r="G828">
        <f>COUNTIF(Data[CustomerID], Data[[#This Row],[CustomerID]])</f>
        <v>3</v>
      </c>
      <c r="H828" s="1" t="str">
        <f>TEXT(Data[OrderDate],"yyyy-mmm")</f>
        <v>2024-Jul</v>
      </c>
      <c r="I828">
        <f>IF(
   COUNTIFS(
      Data[CustomerID], Data[[#This Row],[CustomerID]],
      Data[OrderDate], "&lt;" &amp; EOMONTH(Data[[#This Row],[OrderDate]], -1) + 1
   ) &gt; 0,
   1,
   0
)</f>
        <v>1</v>
      </c>
      <c r="J828">
        <f>YEAR(Data[[#This Row],[OrderDate]])</f>
        <v>2024</v>
      </c>
      <c r="K828" s="2">
        <f>MONTH(Data[[#This Row],[OrderDate]])</f>
        <v>7</v>
      </c>
    </row>
    <row r="829" spans="1:11" x14ac:dyDescent="0.25">
      <c r="A829">
        <v>1794</v>
      </c>
      <c r="B829">
        <v>849</v>
      </c>
      <c r="C829" s="1">
        <v>45497</v>
      </c>
      <c r="D829">
        <v>255.99</v>
      </c>
      <c r="E829" t="s">
        <v>17</v>
      </c>
      <c r="F829" t="s">
        <v>18</v>
      </c>
      <c r="G829">
        <f>COUNTIF(Data[CustomerID], Data[[#This Row],[CustomerID]])</f>
        <v>2</v>
      </c>
      <c r="H829" s="1" t="str">
        <f>TEXT(Data[OrderDate],"yyyy-mmm")</f>
        <v>2024-Jul</v>
      </c>
      <c r="I829">
        <f>IF(
   COUNTIFS(
      Data[CustomerID], Data[[#This Row],[CustomerID]],
      Data[OrderDate], "&lt;" &amp; EOMONTH(Data[[#This Row],[OrderDate]], -1) + 1
   ) &gt; 0,
   1,
   0
)</f>
        <v>1</v>
      </c>
      <c r="J829">
        <f>YEAR(Data[[#This Row],[OrderDate]])</f>
        <v>2024</v>
      </c>
      <c r="K829" s="2">
        <f>MONTH(Data[[#This Row],[OrderDate]])</f>
        <v>7</v>
      </c>
    </row>
    <row r="830" spans="1:11" x14ac:dyDescent="0.25">
      <c r="A830">
        <v>1633</v>
      </c>
      <c r="B830">
        <v>850</v>
      </c>
      <c r="C830" s="1">
        <v>45497</v>
      </c>
      <c r="D830">
        <v>301.07</v>
      </c>
      <c r="E830" t="s">
        <v>9</v>
      </c>
      <c r="F830" t="s">
        <v>10</v>
      </c>
      <c r="G830">
        <f>COUNTIF(Data[CustomerID], Data[[#This Row],[CustomerID]])</f>
        <v>3</v>
      </c>
      <c r="H830" s="1" t="str">
        <f>TEXT(Data[OrderDate],"yyyy-mmm")</f>
        <v>2024-Jul</v>
      </c>
      <c r="I830">
        <f>IF(
   COUNTIFS(
      Data[CustomerID], Data[[#This Row],[CustomerID]],
      Data[OrderDate], "&lt;" &amp; EOMONTH(Data[[#This Row],[OrderDate]], -1) + 1
   ) &gt; 0,
   1,
   0
)</f>
        <v>1</v>
      </c>
      <c r="J830">
        <f>YEAR(Data[[#This Row],[OrderDate]])</f>
        <v>2024</v>
      </c>
      <c r="K830" s="2">
        <f>MONTH(Data[[#This Row],[OrderDate]])</f>
        <v>7</v>
      </c>
    </row>
    <row r="831" spans="1:11" x14ac:dyDescent="0.25">
      <c r="A831">
        <v>1641</v>
      </c>
      <c r="B831">
        <v>286</v>
      </c>
      <c r="C831" s="1">
        <v>45498</v>
      </c>
      <c r="D831">
        <v>408.8</v>
      </c>
      <c r="E831" t="s">
        <v>13</v>
      </c>
      <c r="F831" t="s">
        <v>10</v>
      </c>
      <c r="G831">
        <f>COUNTIF(Data[CustomerID], Data[[#This Row],[CustomerID]])</f>
        <v>1</v>
      </c>
      <c r="H831" s="1" t="str">
        <f>TEXT(Data[OrderDate],"yyyy-mmm")</f>
        <v>2024-Jul</v>
      </c>
      <c r="I831">
        <f>IF(
   COUNTIFS(
      Data[CustomerID], Data[[#This Row],[CustomerID]],
      Data[OrderDate], "&lt;" &amp; EOMONTH(Data[[#This Row],[OrderDate]], -1) + 1
   ) &gt; 0,
   1,
   0
)</f>
        <v>0</v>
      </c>
      <c r="J831">
        <f>YEAR(Data[[#This Row],[OrderDate]])</f>
        <v>2024</v>
      </c>
      <c r="K831" s="2">
        <f>MONTH(Data[[#This Row],[OrderDate]])</f>
        <v>7</v>
      </c>
    </row>
    <row r="832" spans="1:11" x14ac:dyDescent="0.25">
      <c r="A832">
        <v>1347</v>
      </c>
      <c r="B832">
        <v>901</v>
      </c>
      <c r="C832" s="1">
        <v>45498</v>
      </c>
      <c r="D832">
        <v>290.74</v>
      </c>
      <c r="E832" t="s">
        <v>20</v>
      </c>
      <c r="F832" t="s">
        <v>16</v>
      </c>
      <c r="G832">
        <f>COUNTIF(Data[CustomerID], Data[[#This Row],[CustomerID]])</f>
        <v>3</v>
      </c>
      <c r="H832" s="1" t="str">
        <f>TEXT(Data[OrderDate],"yyyy-mmm")</f>
        <v>2024-Jul</v>
      </c>
      <c r="I832">
        <f>IF(
   COUNTIFS(
      Data[CustomerID], Data[[#This Row],[CustomerID]],
      Data[OrderDate], "&lt;" &amp; EOMONTH(Data[[#This Row],[OrderDate]], -1) + 1
   ) &gt; 0,
   1,
   0
)</f>
        <v>1</v>
      </c>
      <c r="J832">
        <f>YEAR(Data[[#This Row],[OrderDate]])</f>
        <v>2024</v>
      </c>
      <c r="K832" s="2">
        <f>MONTH(Data[[#This Row],[OrderDate]])</f>
        <v>7</v>
      </c>
    </row>
    <row r="833" spans="1:11" x14ac:dyDescent="0.25">
      <c r="A833">
        <v>1064</v>
      </c>
      <c r="B833">
        <v>133</v>
      </c>
      <c r="C833" s="1">
        <v>45499</v>
      </c>
      <c r="D833">
        <v>227.14</v>
      </c>
      <c r="E833" t="s">
        <v>17</v>
      </c>
      <c r="F833" t="s">
        <v>10</v>
      </c>
      <c r="G833">
        <f>COUNTIF(Data[CustomerID], Data[[#This Row],[CustomerID]])</f>
        <v>1</v>
      </c>
      <c r="H833" s="1" t="str">
        <f>TEXT(Data[OrderDate],"yyyy-mmm")</f>
        <v>2024-Jul</v>
      </c>
      <c r="I833">
        <f>IF(
   COUNTIFS(
      Data[CustomerID], Data[[#This Row],[CustomerID]],
      Data[OrderDate], "&lt;" &amp; EOMONTH(Data[[#This Row],[OrderDate]], -1) + 1
   ) &gt; 0,
   1,
   0
)</f>
        <v>0</v>
      </c>
      <c r="J833">
        <f>YEAR(Data[[#This Row],[OrderDate]])</f>
        <v>2024</v>
      </c>
      <c r="K833" s="2">
        <f>MONTH(Data[[#This Row],[OrderDate]])</f>
        <v>7</v>
      </c>
    </row>
    <row r="834" spans="1:11" x14ac:dyDescent="0.25">
      <c r="A834">
        <v>1611</v>
      </c>
      <c r="B834">
        <v>787</v>
      </c>
      <c r="C834" s="1">
        <v>45499</v>
      </c>
      <c r="D834">
        <v>276.68</v>
      </c>
      <c r="E834" t="s">
        <v>11</v>
      </c>
      <c r="F834" t="s">
        <v>7</v>
      </c>
      <c r="G834">
        <f>COUNTIF(Data[CustomerID], Data[[#This Row],[CustomerID]])</f>
        <v>2</v>
      </c>
      <c r="H834" s="1" t="str">
        <f>TEXT(Data[OrderDate],"yyyy-mmm")</f>
        <v>2024-Jul</v>
      </c>
      <c r="I834">
        <f>IF(
   COUNTIFS(
      Data[CustomerID], Data[[#This Row],[CustomerID]],
      Data[OrderDate], "&lt;" &amp; EOMONTH(Data[[#This Row],[OrderDate]], -1) + 1
   ) &gt; 0,
   1,
   0
)</f>
        <v>1</v>
      </c>
      <c r="J834">
        <f>YEAR(Data[[#This Row],[OrderDate]])</f>
        <v>2024</v>
      </c>
      <c r="K834" s="2">
        <f>MONTH(Data[[#This Row],[OrderDate]])</f>
        <v>7</v>
      </c>
    </row>
    <row r="835" spans="1:11" x14ac:dyDescent="0.25">
      <c r="A835">
        <v>1330</v>
      </c>
      <c r="B835">
        <v>231</v>
      </c>
      <c r="C835" s="1">
        <v>45500</v>
      </c>
      <c r="D835">
        <v>224.99</v>
      </c>
      <c r="E835" t="s">
        <v>13</v>
      </c>
      <c r="F835" t="s">
        <v>16</v>
      </c>
      <c r="G835">
        <f>COUNTIF(Data[CustomerID], Data[[#This Row],[CustomerID]])</f>
        <v>2</v>
      </c>
      <c r="H835" s="1" t="str">
        <f>TEXT(Data[OrderDate],"yyyy-mmm")</f>
        <v>2024-Jul</v>
      </c>
      <c r="I835">
        <f>IF(
   COUNTIFS(
      Data[CustomerID], Data[[#This Row],[CustomerID]],
      Data[OrderDate], "&lt;" &amp; EOMONTH(Data[[#This Row],[OrderDate]], -1) + 1
   ) &gt; 0,
   1,
   0
)</f>
        <v>1</v>
      </c>
      <c r="J835">
        <f>YEAR(Data[[#This Row],[OrderDate]])</f>
        <v>2024</v>
      </c>
      <c r="K835" s="2">
        <f>MONTH(Data[[#This Row],[OrderDate]])</f>
        <v>7</v>
      </c>
    </row>
    <row r="836" spans="1:11" x14ac:dyDescent="0.25">
      <c r="A836">
        <v>1129</v>
      </c>
      <c r="B836">
        <v>296</v>
      </c>
      <c r="C836" s="1">
        <v>45500</v>
      </c>
      <c r="D836">
        <v>91.51</v>
      </c>
      <c r="E836" t="s">
        <v>17</v>
      </c>
      <c r="F836" t="s">
        <v>18</v>
      </c>
      <c r="G836">
        <f>COUNTIF(Data[CustomerID], Data[[#This Row],[CustomerID]])</f>
        <v>1</v>
      </c>
      <c r="H836" s="1" t="str">
        <f>TEXT(Data[OrderDate],"yyyy-mmm")</f>
        <v>2024-Jul</v>
      </c>
      <c r="I836">
        <f>IF(
   COUNTIFS(
      Data[CustomerID], Data[[#This Row],[CustomerID]],
      Data[OrderDate], "&lt;" &amp; EOMONTH(Data[[#This Row],[OrderDate]], -1) + 1
   ) &gt; 0,
   1,
   0
)</f>
        <v>0</v>
      </c>
      <c r="J836">
        <f>YEAR(Data[[#This Row],[OrderDate]])</f>
        <v>2024</v>
      </c>
      <c r="K836" s="2">
        <f>MONTH(Data[[#This Row],[OrderDate]])</f>
        <v>7</v>
      </c>
    </row>
    <row r="837" spans="1:11" x14ac:dyDescent="0.25">
      <c r="A837">
        <v>1766</v>
      </c>
      <c r="B837">
        <v>310</v>
      </c>
      <c r="C837" s="1">
        <v>45501</v>
      </c>
      <c r="D837">
        <v>80.73</v>
      </c>
      <c r="E837" t="s">
        <v>9</v>
      </c>
      <c r="F837" t="s">
        <v>14</v>
      </c>
      <c r="G837">
        <f>COUNTIF(Data[CustomerID], Data[[#This Row],[CustomerID]])</f>
        <v>2</v>
      </c>
      <c r="H837" s="1" t="str">
        <f>TEXT(Data[OrderDate],"yyyy-mmm")</f>
        <v>2024-Jul</v>
      </c>
      <c r="I837">
        <f>IF(
   COUNTIFS(
      Data[CustomerID], Data[[#This Row],[CustomerID]],
      Data[OrderDate], "&lt;" &amp; EOMONTH(Data[[#This Row],[OrderDate]], -1) + 1
   ) &gt; 0,
   1,
   0
)</f>
        <v>1</v>
      </c>
      <c r="J837">
        <f>YEAR(Data[[#This Row],[OrderDate]])</f>
        <v>2024</v>
      </c>
      <c r="K837" s="2">
        <f>MONTH(Data[[#This Row],[OrderDate]])</f>
        <v>7</v>
      </c>
    </row>
    <row r="838" spans="1:11" x14ac:dyDescent="0.25">
      <c r="A838">
        <v>1995</v>
      </c>
      <c r="B838">
        <v>415</v>
      </c>
      <c r="C838" s="1">
        <v>45501</v>
      </c>
      <c r="D838">
        <v>410.27</v>
      </c>
      <c r="E838" t="s">
        <v>11</v>
      </c>
      <c r="F838" t="s">
        <v>18</v>
      </c>
      <c r="G838">
        <f>COUNTIF(Data[CustomerID], Data[[#This Row],[CustomerID]])</f>
        <v>2</v>
      </c>
      <c r="H838" s="1" t="str">
        <f>TEXT(Data[OrderDate],"yyyy-mmm")</f>
        <v>2024-Jul</v>
      </c>
      <c r="I838">
        <f>IF(
   COUNTIFS(
      Data[CustomerID], Data[[#This Row],[CustomerID]],
      Data[OrderDate], "&lt;" &amp; EOMONTH(Data[[#This Row],[OrderDate]], -1) + 1
   ) &gt; 0,
   1,
   0
)</f>
        <v>1</v>
      </c>
      <c r="J838">
        <f>YEAR(Data[[#This Row],[OrderDate]])</f>
        <v>2024</v>
      </c>
      <c r="K838" s="2">
        <f>MONTH(Data[[#This Row],[OrderDate]])</f>
        <v>7</v>
      </c>
    </row>
    <row r="839" spans="1:11" x14ac:dyDescent="0.25">
      <c r="A839">
        <v>1694</v>
      </c>
      <c r="B839">
        <v>769</v>
      </c>
      <c r="C839" s="1">
        <v>45501</v>
      </c>
      <c r="D839">
        <v>363.95</v>
      </c>
      <c r="E839" t="s">
        <v>13</v>
      </c>
      <c r="F839" t="s">
        <v>18</v>
      </c>
      <c r="G839">
        <f>COUNTIF(Data[CustomerID], Data[[#This Row],[CustomerID]])</f>
        <v>1</v>
      </c>
      <c r="H839" s="1" t="str">
        <f>TEXT(Data[OrderDate],"yyyy-mmm")</f>
        <v>2024-Jul</v>
      </c>
      <c r="I839">
        <f>IF(
   COUNTIFS(
      Data[CustomerID], Data[[#This Row],[CustomerID]],
      Data[OrderDate], "&lt;" &amp; EOMONTH(Data[[#This Row],[OrderDate]], -1) + 1
   ) &gt; 0,
   1,
   0
)</f>
        <v>0</v>
      </c>
      <c r="J839">
        <f>YEAR(Data[[#This Row],[OrderDate]])</f>
        <v>2024</v>
      </c>
      <c r="K839" s="2">
        <f>MONTH(Data[[#This Row],[OrderDate]])</f>
        <v>7</v>
      </c>
    </row>
    <row r="840" spans="1:11" x14ac:dyDescent="0.25">
      <c r="A840">
        <v>1819</v>
      </c>
      <c r="B840">
        <v>591</v>
      </c>
      <c r="C840" s="1">
        <v>45502</v>
      </c>
      <c r="D840">
        <v>161.88</v>
      </c>
      <c r="E840" t="s">
        <v>13</v>
      </c>
      <c r="F840" t="s">
        <v>14</v>
      </c>
      <c r="G840">
        <f>COUNTIF(Data[CustomerID], Data[[#This Row],[CustomerID]])</f>
        <v>2</v>
      </c>
      <c r="H840" s="1" t="str">
        <f>TEXT(Data[OrderDate],"yyyy-mmm")</f>
        <v>2024-Jul</v>
      </c>
      <c r="I840">
        <f>IF(
   COUNTIFS(
      Data[CustomerID], Data[[#This Row],[CustomerID]],
      Data[OrderDate], "&lt;" &amp; EOMONTH(Data[[#This Row],[OrderDate]], -1) + 1
   ) &gt; 0,
   1,
   0
)</f>
        <v>0</v>
      </c>
      <c r="J840">
        <f>YEAR(Data[[#This Row],[OrderDate]])</f>
        <v>2024</v>
      </c>
      <c r="K840" s="2">
        <f>MONTH(Data[[#This Row],[OrderDate]])</f>
        <v>7</v>
      </c>
    </row>
    <row r="841" spans="1:11" x14ac:dyDescent="0.25">
      <c r="A841">
        <v>1825</v>
      </c>
      <c r="B841">
        <v>738</v>
      </c>
      <c r="C841" s="1">
        <v>45503</v>
      </c>
      <c r="D841">
        <v>27.07</v>
      </c>
      <c r="E841" t="s">
        <v>6</v>
      </c>
      <c r="F841" t="s">
        <v>18</v>
      </c>
      <c r="G841">
        <f>COUNTIF(Data[CustomerID], Data[[#This Row],[CustomerID]])</f>
        <v>1</v>
      </c>
      <c r="H841" s="1" t="str">
        <f>TEXT(Data[OrderDate],"yyyy-mmm")</f>
        <v>2024-Jul</v>
      </c>
      <c r="I841">
        <f>IF(
   COUNTIFS(
      Data[CustomerID], Data[[#This Row],[CustomerID]],
      Data[OrderDate], "&lt;" &amp; EOMONTH(Data[[#This Row],[OrderDate]], -1) + 1
   ) &gt; 0,
   1,
   0
)</f>
        <v>0</v>
      </c>
      <c r="J841">
        <f>YEAR(Data[[#This Row],[OrderDate]])</f>
        <v>2024</v>
      </c>
      <c r="K841" s="2">
        <f>MONTH(Data[[#This Row],[OrderDate]])</f>
        <v>7</v>
      </c>
    </row>
    <row r="842" spans="1:11" x14ac:dyDescent="0.25">
      <c r="A842">
        <v>1484</v>
      </c>
      <c r="B842">
        <v>59</v>
      </c>
      <c r="C842" s="1">
        <v>45504</v>
      </c>
      <c r="D842">
        <v>298.67</v>
      </c>
      <c r="E842" t="s">
        <v>15</v>
      </c>
      <c r="F842" t="s">
        <v>16</v>
      </c>
      <c r="G842">
        <f>COUNTIF(Data[CustomerID], Data[[#This Row],[CustomerID]])</f>
        <v>2</v>
      </c>
      <c r="H842" s="1" t="str">
        <f>TEXT(Data[OrderDate],"yyyy-mmm")</f>
        <v>2024-Jul</v>
      </c>
      <c r="I842">
        <f>IF(
   COUNTIFS(
      Data[CustomerID], Data[[#This Row],[CustomerID]],
      Data[OrderDate], "&lt;" &amp; EOMONTH(Data[[#This Row],[OrderDate]], -1) + 1
   ) &gt; 0,
   1,
   0
)</f>
        <v>1</v>
      </c>
      <c r="J842">
        <f>YEAR(Data[[#This Row],[OrderDate]])</f>
        <v>2024</v>
      </c>
      <c r="K842" s="2">
        <f>MONTH(Data[[#This Row],[OrderDate]])</f>
        <v>7</v>
      </c>
    </row>
    <row r="843" spans="1:11" x14ac:dyDescent="0.25">
      <c r="A843">
        <v>1143</v>
      </c>
      <c r="B843">
        <v>321</v>
      </c>
      <c r="C843" s="1">
        <v>45505</v>
      </c>
      <c r="D843">
        <v>317.85000000000002</v>
      </c>
      <c r="E843" t="s">
        <v>13</v>
      </c>
      <c r="F843" t="s">
        <v>10</v>
      </c>
      <c r="G843">
        <f>COUNTIF(Data[CustomerID], Data[[#This Row],[CustomerID]])</f>
        <v>4</v>
      </c>
      <c r="H843" s="1" t="str">
        <f>TEXT(Data[OrderDate],"yyyy-mmm")</f>
        <v>2024-Aug</v>
      </c>
      <c r="I843">
        <f>IF(
   COUNTIFS(
      Data[CustomerID], Data[[#This Row],[CustomerID]],
      Data[OrderDate], "&lt;" &amp; EOMONTH(Data[[#This Row],[OrderDate]], -1) + 1
   ) &gt; 0,
   1,
   0
)</f>
        <v>1</v>
      </c>
      <c r="J843">
        <f>YEAR(Data[[#This Row],[OrderDate]])</f>
        <v>2024</v>
      </c>
      <c r="K843" s="2">
        <f>MONTH(Data[[#This Row],[OrderDate]])</f>
        <v>8</v>
      </c>
    </row>
    <row r="844" spans="1:11" x14ac:dyDescent="0.25">
      <c r="A844">
        <v>1792</v>
      </c>
      <c r="B844">
        <v>497</v>
      </c>
      <c r="C844" s="1">
        <v>45505</v>
      </c>
      <c r="D844">
        <v>188.85</v>
      </c>
      <c r="E844" t="s">
        <v>15</v>
      </c>
      <c r="F844" t="s">
        <v>16</v>
      </c>
      <c r="G844">
        <f>COUNTIF(Data[CustomerID], Data[[#This Row],[CustomerID]])</f>
        <v>1</v>
      </c>
      <c r="H844" s="1" t="str">
        <f>TEXT(Data[OrderDate],"yyyy-mmm")</f>
        <v>2024-Aug</v>
      </c>
      <c r="I844">
        <f>IF(
   COUNTIFS(
      Data[CustomerID], Data[[#This Row],[CustomerID]],
      Data[OrderDate], "&lt;" &amp; EOMONTH(Data[[#This Row],[OrderDate]], -1) + 1
   ) &gt; 0,
   1,
   0
)</f>
        <v>0</v>
      </c>
      <c r="J844">
        <f>YEAR(Data[[#This Row],[OrderDate]])</f>
        <v>2024</v>
      </c>
      <c r="K844" s="2">
        <f>MONTH(Data[[#This Row],[OrderDate]])</f>
        <v>8</v>
      </c>
    </row>
    <row r="845" spans="1:11" x14ac:dyDescent="0.25">
      <c r="A845">
        <v>1642</v>
      </c>
      <c r="B845">
        <v>178</v>
      </c>
      <c r="C845" s="1">
        <v>45506</v>
      </c>
      <c r="D845">
        <v>367.78</v>
      </c>
      <c r="E845" t="s">
        <v>8</v>
      </c>
      <c r="F845" t="s">
        <v>16</v>
      </c>
      <c r="G845">
        <f>COUNTIF(Data[CustomerID], Data[[#This Row],[CustomerID]])</f>
        <v>1</v>
      </c>
      <c r="H845" s="1" t="str">
        <f>TEXT(Data[OrderDate],"yyyy-mmm")</f>
        <v>2024-Aug</v>
      </c>
      <c r="I845">
        <f>IF(
   COUNTIFS(
      Data[CustomerID], Data[[#This Row],[CustomerID]],
      Data[OrderDate], "&lt;" &amp; EOMONTH(Data[[#This Row],[OrderDate]], -1) + 1
   ) &gt; 0,
   1,
   0
)</f>
        <v>0</v>
      </c>
      <c r="J845">
        <f>YEAR(Data[[#This Row],[OrderDate]])</f>
        <v>2024</v>
      </c>
      <c r="K845" s="2">
        <f>MONTH(Data[[#This Row],[OrderDate]])</f>
        <v>8</v>
      </c>
    </row>
    <row r="846" spans="1:11" x14ac:dyDescent="0.25">
      <c r="A846">
        <v>1563</v>
      </c>
      <c r="B846">
        <v>799</v>
      </c>
      <c r="C846" s="1">
        <v>45506</v>
      </c>
      <c r="D846">
        <v>148.84</v>
      </c>
      <c r="E846" t="s">
        <v>13</v>
      </c>
      <c r="F846" t="s">
        <v>19</v>
      </c>
      <c r="G846">
        <f>COUNTIF(Data[CustomerID], Data[[#This Row],[CustomerID]])</f>
        <v>3</v>
      </c>
      <c r="H846" s="1" t="str">
        <f>TEXT(Data[OrderDate],"yyyy-mmm")</f>
        <v>2024-Aug</v>
      </c>
      <c r="I846">
        <f>IF(
   COUNTIFS(
      Data[CustomerID], Data[[#This Row],[CustomerID]],
      Data[OrderDate], "&lt;" &amp; EOMONTH(Data[[#This Row],[OrderDate]], -1) + 1
   ) &gt; 0,
   1,
   0
)</f>
        <v>1</v>
      </c>
      <c r="J846">
        <f>YEAR(Data[[#This Row],[OrderDate]])</f>
        <v>2024</v>
      </c>
      <c r="K846" s="2">
        <f>MONTH(Data[[#This Row],[OrderDate]])</f>
        <v>8</v>
      </c>
    </row>
    <row r="847" spans="1:11" x14ac:dyDescent="0.25">
      <c r="A847">
        <v>1509</v>
      </c>
      <c r="B847">
        <v>274</v>
      </c>
      <c r="C847" s="1">
        <v>45507</v>
      </c>
      <c r="D847">
        <v>412.47</v>
      </c>
      <c r="E847" t="s">
        <v>9</v>
      </c>
      <c r="F847" t="s">
        <v>18</v>
      </c>
      <c r="G847">
        <f>COUNTIF(Data[CustomerID], Data[[#This Row],[CustomerID]])</f>
        <v>2</v>
      </c>
      <c r="H847" s="1" t="str">
        <f>TEXT(Data[OrderDate],"yyyy-mmm")</f>
        <v>2024-Aug</v>
      </c>
      <c r="I847">
        <f>IF(
   COUNTIFS(
      Data[CustomerID], Data[[#This Row],[CustomerID]],
      Data[OrderDate], "&lt;" &amp; EOMONTH(Data[[#This Row],[OrderDate]], -1) + 1
   ) &gt; 0,
   1,
   0
)</f>
        <v>0</v>
      </c>
      <c r="J847">
        <f>YEAR(Data[[#This Row],[OrderDate]])</f>
        <v>2024</v>
      </c>
      <c r="K847" s="2">
        <f>MONTH(Data[[#This Row],[OrderDate]])</f>
        <v>8</v>
      </c>
    </row>
    <row r="848" spans="1:11" x14ac:dyDescent="0.25">
      <c r="A848">
        <v>1748</v>
      </c>
      <c r="B848">
        <v>206</v>
      </c>
      <c r="C848" s="1">
        <v>45508</v>
      </c>
      <c r="D848">
        <v>433.89</v>
      </c>
      <c r="E848" t="s">
        <v>11</v>
      </c>
      <c r="F848" t="s">
        <v>18</v>
      </c>
      <c r="G848">
        <f>COUNTIF(Data[CustomerID], Data[[#This Row],[CustomerID]])</f>
        <v>2</v>
      </c>
      <c r="H848" s="1" t="str">
        <f>TEXT(Data[OrderDate],"yyyy-mmm")</f>
        <v>2024-Aug</v>
      </c>
      <c r="I848">
        <f>IF(
   COUNTIFS(
      Data[CustomerID], Data[[#This Row],[CustomerID]],
      Data[OrderDate], "&lt;" &amp; EOMONTH(Data[[#This Row],[OrderDate]], -1) + 1
   ) &gt; 0,
   1,
   0
)</f>
        <v>1</v>
      </c>
      <c r="J848">
        <f>YEAR(Data[[#This Row],[OrderDate]])</f>
        <v>2024</v>
      </c>
      <c r="K848" s="2">
        <f>MONTH(Data[[#This Row],[OrderDate]])</f>
        <v>8</v>
      </c>
    </row>
    <row r="849" spans="1:11" x14ac:dyDescent="0.25">
      <c r="A849">
        <v>1779</v>
      </c>
      <c r="B849">
        <v>767</v>
      </c>
      <c r="C849" s="1">
        <v>45510</v>
      </c>
      <c r="D849">
        <v>489.88</v>
      </c>
      <c r="E849" t="s">
        <v>17</v>
      </c>
      <c r="F849" t="s">
        <v>16</v>
      </c>
      <c r="G849">
        <f>COUNTIF(Data[CustomerID], Data[[#This Row],[CustomerID]])</f>
        <v>2</v>
      </c>
      <c r="H849" s="1" t="str">
        <f>TEXT(Data[OrderDate],"yyyy-mmm")</f>
        <v>2024-Aug</v>
      </c>
      <c r="I849">
        <f>IF(
   COUNTIFS(
      Data[CustomerID], Data[[#This Row],[CustomerID]],
      Data[OrderDate], "&lt;" &amp; EOMONTH(Data[[#This Row],[OrderDate]], -1) + 1
   ) &gt; 0,
   1,
   0
)</f>
        <v>1</v>
      </c>
      <c r="J849">
        <f>YEAR(Data[[#This Row],[OrderDate]])</f>
        <v>2024</v>
      </c>
      <c r="K849" s="2">
        <f>MONTH(Data[[#This Row],[OrderDate]])</f>
        <v>8</v>
      </c>
    </row>
    <row r="850" spans="1:11" x14ac:dyDescent="0.25">
      <c r="A850">
        <v>1739</v>
      </c>
      <c r="B850">
        <v>971</v>
      </c>
      <c r="C850" s="1">
        <v>45510</v>
      </c>
      <c r="D850">
        <v>36.92</v>
      </c>
      <c r="E850" t="s">
        <v>6</v>
      </c>
      <c r="F850" t="s">
        <v>16</v>
      </c>
      <c r="G850">
        <f>COUNTIF(Data[CustomerID], Data[[#This Row],[CustomerID]])</f>
        <v>1</v>
      </c>
      <c r="H850" s="1" t="str">
        <f>TEXT(Data[OrderDate],"yyyy-mmm")</f>
        <v>2024-Aug</v>
      </c>
      <c r="I850">
        <f>IF(
   COUNTIFS(
      Data[CustomerID], Data[[#This Row],[CustomerID]],
      Data[OrderDate], "&lt;" &amp; EOMONTH(Data[[#This Row],[OrderDate]], -1) + 1
   ) &gt; 0,
   1,
   0
)</f>
        <v>0</v>
      </c>
      <c r="J850">
        <f>YEAR(Data[[#This Row],[OrderDate]])</f>
        <v>2024</v>
      </c>
      <c r="K850" s="2">
        <f>MONTH(Data[[#This Row],[OrderDate]])</f>
        <v>8</v>
      </c>
    </row>
    <row r="851" spans="1:11" x14ac:dyDescent="0.25">
      <c r="A851">
        <v>1393</v>
      </c>
      <c r="B851">
        <v>750</v>
      </c>
      <c r="C851" s="1">
        <v>45511</v>
      </c>
      <c r="D851">
        <v>28.02</v>
      </c>
      <c r="E851" t="s">
        <v>17</v>
      </c>
      <c r="F851" t="s">
        <v>18</v>
      </c>
      <c r="G851">
        <f>COUNTIF(Data[CustomerID], Data[[#This Row],[CustomerID]])</f>
        <v>1</v>
      </c>
      <c r="H851" s="1" t="str">
        <f>TEXT(Data[OrderDate],"yyyy-mmm")</f>
        <v>2024-Aug</v>
      </c>
      <c r="I851">
        <f>IF(
   COUNTIFS(
      Data[CustomerID], Data[[#This Row],[CustomerID]],
      Data[OrderDate], "&lt;" &amp; EOMONTH(Data[[#This Row],[OrderDate]], -1) + 1
   ) &gt; 0,
   1,
   0
)</f>
        <v>0</v>
      </c>
      <c r="J851">
        <f>YEAR(Data[[#This Row],[OrderDate]])</f>
        <v>2024</v>
      </c>
      <c r="K851" s="2">
        <f>MONTH(Data[[#This Row],[OrderDate]])</f>
        <v>8</v>
      </c>
    </row>
    <row r="852" spans="1:11" x14ac:dyDescent="0.25">
      <c r="A852">
        <v>1934</v>
      </c>
      <c r="B852">
        <v>897</v>
      </c>
      <c r="C852" s="1">
        <v>45512</v>
      </c>
      <c r="D852">
        <v>371.14</v>
      </c>
      <c r="E852" t="s">
        <v>17</v>
      </c>
      <c r="F852" t="s">
        <v>18</v>
      </c>
      <c r="G852">
        <f>COUNTIF(Data[CustomerID], Data[[#This Row],[CustomerID]])</f>
        <v>2</v>
      </c>
      <c r="H852" s="1" t="str">
        <f>TEXT(Data[OrderDate],"yyyy-mmm")</f>
        <v>2024-Aug</v>
      </c>
      <c r="I852">
        <f>IF(
   COUNTIFS(
      Data[CustomerID], Data[[#This Row],[CustomerID]],
      Data[OrderDate], "&lt;" &amp; EOMONTH(Data[[#This Row],[OrderDate]], -1) + 1
   ) &gt; 0,
   1,
   0
)</f>
        <v>1</v>
      </c>
      <c r="J852">
        <f>YEAR(Data[[#This Row],[OrderDate]])</f>
        <v>2024</v>
      </c>
      <c r="K852" s="2">
        <f>MONTH(Data[[#This Row],[OrderDate]])</f>
        <v>8</v>
      </c>
    </row>
    <row r="853" spans="1:11" x14ac:dyDescent="0.25">
      <c r="A853">
        <v>1951</v>
      </c>
      <c r="B853">
        <v>281</v>
      </c>
      <c r="C853" s="1">
        <v>45514</v>
      </c>
      <c r="D853">
        <v>397.74</v>
      </c>
      <c r="E853" t="s">
        <v>6</v>
      </c>
      <c r="F853" t="s">
        <v>16</v>
      </c>
      <c r="G853">
        <f>COUNTIF(Data[CustomerID], Data[[#This Row],[CustomerID]])</f>
        <v>1</v>
      </c>
      <c r="H853" s="1" t="str">
        <f>TEXT(Data[OrderDate],"yyyy-mmm")</f>
        <v>2024-Aug</v>
      </c>
      <c r="I853">
        <f>IF(
   COUNTIFS(
      Data[CustomerID], Data[[#This Row],[CustomerID]],
      Data[OrderDate], "&lt;" &amp; EOMONTH(Data[[#This Row],[OrderDate]], -1) + 1
   ) &gt; 0,
   1,
   0
)</f>
        <v>0</v>
      </c>
      <c r="J853">
        <f>YEAR(Data[[#This Row],[OrderDate]])</f>
        <v>2024</v>
      </c>
      <c r="K853" s="2">
        <f>MONTH(Data[[#This Row],[OrderDate]])</f>
        <v>8</v>
      </c>
    </row>
    <row r="854" spans="1:11" x14ac:dyDescent="0.25">
      <c r="A854">
        <v>1263</v>
      </c>
      <c r="B854">
        <v>575</v>
      </c>
      <c r="C854" s="1">
        <v>45514</v>
      </c>
      <c r="D854">
        <v>82.54</v>
      </c>
      <c r="E854" t="s">
        <v>20</v>
      </c>
      <c r="F854" t="s">
        <v>10</v>
      </c>
      <c r="G854">
        <f>COUNTIF(Data[CustomerID], Data[[#This Row],[CustomerID]])</f>
        <v>1</v>
      </c>
      <c r="H854" s="1" t="str">
        <f>TEXT(Data[OrderDate],"yyyy-mmm")</f>
        <v>2024-Aug</v>
      </c>
      <c r="I854">
        <f>IF(
   COUNTIFS(
      Data[CustomerID], Data[[#This Row],[CustomerID]],
      Data[OrderDate], "&lt;" &amp; EOMONTH(Data[[#This Row],[OrderDate]], -1) + 1
   ) &gt; 0,
   1,
   0
)</f>
        <v>0</v>
      </c>
      <c r="J854">
        <f>YEAR(Data[[#This Row],[OrderDate]])</f>
        <v>2024</v>
      </c>
      <c r="K854" s="2">
        <f>MONTH(Data[[#This Row],[OrderDate]])</f>
        <v>8</v>
      </c>
    </row>
    <row r="855" spans="1:11" x14ac:dyDescent="0.25">
      <c r="A855">
        <v>1166</v>
      </c>
      <c r="B855">
        <v>877</v>
      </c>
      <c r="C855" s="1">
        <v>45515</v>
      </c>
      <c r="D855">
        <v>486.86</v>
      </c>
      <c r="E855" t="s">
        <v>17</v>
      </c>
      <c r="F855" t="s">
        <v>18</v>
      </c>
      <c r="G855">
        <f>COUNTIF(Data[CustomerID], Data[[#This Row],[CustomerID]])</f>
        <v>2</v>
      </c>
      <c r="H855" s="1" t="str">
        <f>TEXT(Data[OrderDate],"yyyy-mmm")</f>
        <v>2024-Aug</v>
      </c>
      <c r="I855">
        <f>IF(
   COUNTIFS(
      Data[CustomerID], Data[[#This Row],[CustomerID]],
      Data[OrderDate], "&lt;" &amp; EOMONTH(Data[[#This Row],[OrderDate]], -1) + 1
   ) &gt; 0,
   1,
   0
)</f>
        <v>1</v>
      </c>
      <c r="J855">
        <f>YEAR(Data[[#This Row],[OrderDate]])</f>
        <v>2024</v>
      </c>
      <c r="K855" s="2">
        <f>MONTH(Data[[#This Row],[OrderDate]])</f>
        <v>8</v>
      </c>
    </row>
    <row r="856" spans="1:11" x14ac:dyDescent="0.25">
      <c r="A856">
        <v>1157</v>
      </c>
      <c r="B856">
        <v>468</v>
      </c>
      <c r="C856" s="1">
        <v>45516</v>
      </c>
      <c r="D856">
        <v>120.16</v>
      </c>
      <c r="E856" t="s">
        <v>17</v>
      </c>
      <c r="F856" t="s">
        <v>18</v>
      </c>
      <c r="G856">
        <f>COUNTIF(Data[CustomerID], Data[[#This Row],[CustomerID]])</f>
        <v>1</v>
      </c>
      <c r="H856" s="1" t="str">
        <f>TEXT(Data[OrderDate],"yyyy-mmm")</f>
        <v>2024-Aug</v>
      </c>
      <c r="I856">
        <f>IF(
   COUNTIFS(
      Data[CustomerID], Data[[#This Row],[CustomerID]],
      Data[OrderDate], "&lt;" &amp; EOMONTH(Data[[#This Row],[OrderDate]], -1) + 1
   ) &gt; 0,
   1,
   0
)</f>
        <v>0</v>
      </c>
      <c r="J856">
        <f>YEAR(Data[[#This Row],[OrderDate]])</f>
        <v>2024</v>
      </c>
      <c r="K856" s="2">
        <f>MONTH(Data[[#This Row],[OrderDate]])</f>
        <v>8</v>
      </c>
    </row>
    <row r="857" spans="1:11" x14ac:dyDescent="0.25">
      <c r="A857">
        <v>1928</v>
      </c>
      <c r="B857">
        <v>978</v>
      </c>
      <c r="C857" s="1">
        <v>45517</v>
      </c>
      <c r="D857">
        <v>268</v>
      </c>
      <c r="E857" t="s">
        <v>20</v>
      </c>
      <c r="F857" t="s">
        <v>14</v>
      </c>
      <c r="G857">
        <f>COUNTIF(Data[CustomerID], Data[[#This Row],[CustomerID]])</f>
        <v>5</v>
      </c>
      <c r="H857" s="1" t="str">
        <f>TEXT(Data[OrderDate],"yyyy-mmm")</f>
        <v>2024-Aug</v>
      </c>
      <c r="I857">
        <f>IF(
   COUNTIFS(
      Data[CustomerID], Data[[#This Row],[CustomerID]],
      Data[OrderDate], "&lt;" &amp; EOMONTH(Data[[#This Row],[OrderDate]], -1) + 1
   ) &gt; 0,
   1,
   0
)</f>
        <v>1</v>
      </c>
      <c r="J857">
        <f>YEAR(Data[[#This Row],[OrderDate]])</f>
        <v>2024</v>
      </c>
      <c r="K857" s="2">
        <f>MONTH(Data[[#This Row],[OrderDate]])</f>
        <v>8</v>
      </c>
    </row>
    <row r="858" spans="1:11" x14ac:dyDescent="0.25">
      <c r="A858">
        <v>1452</v>
      </c>
      <c r="B858">
        <v>655</v>
      </c>
      <c r="C858" s="1">
        <v>45518</v>
      </c>
      <c r="D858">
        <v>391.3</v>
      </c>
      <c r="E858" t="s">
        <v>8</v>
      </c>
      <c r="F858" t="s">
        <v>18</v>
      </c>
      <c r="G858">
        <f>COUNTIF(Data[CustomerID], Data[[#This Row],[CustomerID]])</f>
        <v>3</v>
      </c>
      <c r="H858" s="1" t="str">
        <f>TEXT(Data[OrderDate],"yyyy-mmm")</f>
        <v>2024-Aug</v>
      </c>
      <c r="I858">
        <f>IF(
   COUNTIFS(
      Data[CustomerID], Data[[#This Row],[CustomerID]],
      Data[OrderDate], "&lt;" &amp; EOMONTH(Data[[#This Row],[OrderDate]], -1) + 1
   ) &gt; 0,
   1,
   0
)</f>
        <v>1</v>
      </c>
      <c r="J858">
        <f>YEAR(Data[[#This Row],[OrderDate]])</f>
        <v>2024</v>
      </c>
      <c r="K858" s="2">
        <f>MONTH(Data[[#This Row],[OrderDate]])</f>
        <v>8</v>
      </c>
    </row>
    <row r="859" spans="1:11" x14ac:dyDescent="0.25">
      <c r="A859">
        <v>1775</v>
      </c>
      <c r="B859">
        <v>541</v>
      </c>
      <c r="C859" s="1">
        <v>45519</v>
      </c>
      <c r="D859">
        <v>196.86</v>
      </c>
      <c r="E859" t="s">
        <v>15</v>
      </c>
      <c r="F859" t="s">
        <v>18</v>
      </c>
      <c r="G859">
        <f>COUNTIF(Data[CustomerID], Data[[#This Row],[CustomerID]])</f>
        <v>4</v>
      </c>
      <c r="H859" s="1" t="str">
        <f>TEXT(Data[OrderDate],"yyyy-mmm")</f>
        <v>2024-Aug</v>
      </c>
      <c r="I859">
        <f>IF(
   COUNTIFS(
      Data[CustomerID], Data[[#This Row],[CustomerID]],
      Data[OrderDate], "&lt;" &amp; EOMONTH(Data[[#This Row],[OrderDate]], -1) + 1
   ) &gt; 0,
   1,
   0
)</f>
        <v>1</v>
      </c>
      <c r="J859">
        <f>YEAR(Data[[#This Row],[OrderDate]])</f>
        <v>2024</v>
      </c>
      <c r="K859" s="2">
        <f>MONTH(Data[[#This Row],[OrderDate]])</f>
        <v>8</v>
      </c>
    </row>
    <row r="860" spans="1:11" x14ac:dyDescent="0.25">
      <c r="A860">
        <v>1214</v>
      </c>
      <c r="B860">
        <v>828</v>
      </c>
      <c r="C860" s="1">
        <v>45519</v>
      </c>
      <c r="D860">
        <v>201.7</v>
      </c>
      <c r="E860" t="s">
        <v>9</v>
      </c>
      <c r="F860" t="s">
        <v>12</v>
      </c>
      <c r="G860">
        <f>COUNTIF(Data[CustomerID], Data[[#This Row],[CustomerID]])</f>
        <v>2</v>
      </c>
      <c r="H860" s="1" t="str">
        <f>TEXT(Data[OrderDate],"yyyy-mmm")</f>
        <v>2024-Aug</v>
      </c>
      <c r="I860">
        <f>IF(
   COUNTIFS(
      Data[CustomerID], Data[[#This Row],[CustomerID]],
      Data[OrderDate], "&lt;" &amp; EOMONTH(Data[[#This Row],[OrderDate]], -1) + 1
   ) &gt; 0,
   1,
   0
)</f>
        <v>0</v>
      </c>
      <c r="J860">
        <f>YEAR(Data[[#This Row],[OrderDate]])</f>
        <v>2024</v>
      </c>
      <c r="K860" s="2">
        <f>MONTH(Data[[#This Row],[OrderDate]])</f>
        <v>8</v>
      </c>
    </row>
    <row r="861" spans="1:11" x14ac:dyDescent="0.25">
      <c r="A861">
        <v>1015</v>
      </c>
      <c r="B861">
        <v>685</v>
      </c>
      <c r="C861" s="1">
        <v>45520</v>
      </c>
      <c r="D861">
        <v>262.55</v>
      </c>
      <c r="E861" t="s">
        <v>17</v>
      </c>
      <c r="F861" t="s">
        <v>16</v>
      </c>
      <c r="G861">
        <f>COUNTIF(Data[CustomerID], Data[[#This Row],[CustomerID]])</f>
        <v>1</v>
      </c>
      <c r="H861" s="1" t="str">
        <f>TEXT(Data[OrderDate],"yyyy-mmm")</f>
        <v>2024-Aug</v>
      </c>
      <c r="I861">
        <f>IF(
   COUNTIFS(
      Data[CustomerID], Data[[#This Row],[CustomerID]],
      Data[OrderDate], "&lt;" &amp; EOMONTH(Data[[#This Row],[OrderDate]], -1) + 1
   ) &gt; 0,
   1,
   0
)</f>
        <v>0</v>
      </c>
      <c r="J861">
        <f>YEAR(Data[[#This Row],[OrderDate]])</f>
        <v>2024</v>
      </c>
      <c r="K861" s="2">
        <f>MONTH(Data[[#This Row],[OrderDate]])</f>
        <v>8</v>
      </c>
    </row>
    <row r="862" spans="1:11" x14ac:dyDescent="0.25">
      <c r="A862">
        <v>1553</v>
      </c>
      <c r="B862">
        <v>191</v>
      </c>
      <c r="C862" s="1">
        <v>45521</v>
      </c>
      <c r="D862">
        <v>416.28</v>
      </c>
      <c r="E862" t="s">
        <v>11</v>
      </c>
      <c r="F862" t="s">
        <v>12</v>
      </c>
      <c r="G862">
        <f>COUNTIF(Data[CustomerID], Data[[#This Row],[CustomerID]])</f>
        <v>1</v>
      </c>
      <c r="H862" s="1" t="str">
        <f>TEXT(Data[OrderDate],"yyyy-mmm")</f>
        <v>2024-Aug</v>
      </c>
      <c r="I862">
        <f>IF(
   COUNTIFS(
      Data[CustomerID], Data[[#This Row],[CustomerID]],
      Data[OrderDate], "&lt;" &amp; EOMONTH(Data[[#This Row],[OrderDate]], -1) + 1
   ) &gt; 0,
   1,
   0
)</f>
        <v>0</v>
      </c>
      <c r="J862">
        <f>YEAR(Data[[#This Row],[OrderDate]])</f>
        <v>2024</v>
      </c>
      <c r="K862" s="2">
        <f>MONTH(Data[[#This Row],[OrderDate]])</f>
        <v>8</v>
      </c>
    </row>
    <row r="863" spans="1:11" x14ac:dyDescent="0.25">
      <c r="A863">
        <v>1471</v>
      </c>
      <c r="B863">
        <v>265</v>
      </c>
      <c r="C863" s="1">
        <v>45522</v>
      </c>
      <c r="D863">
        <v>263.93</v>
      </c>
      <c r="E863" t="s">
        <v>11</v>
      </c>
      <c r="F863" t="s">
        <v>12</v>
      </c>
      <c r="G863">
        <f>COUNTIF(Data[CustomerID], Data[[#This Row],[CustomerID]])</f>
        <v>2</v>
      </c>
      <c r="H863" s="1" t="str">
        <f>TEXT(Data[OrderDate],"yyyy-mmm")</f>
        <v>2024-Aug</v>
      </c>
      <c r="I863">
        <f>IF(
   COUNTIFS(
      Data[CustomerID], Data[[#This Row],[CustomerID]],
      Data[OrderDate], "&lt;" &amp; EOMONTH(Data[[#This Row],[OrderDate]], -1) + 1
   ) &gt; 0,
   1,
   0
)</f>
        <v>0</v>
      </c>
      <c r="J863">
        <f>YEAR(Data[[#This Row],[OrderDate]])</f>
        <v>2024</v>
      </c>
      <c r="K863" s="2">
        <f>MONTH(Data[[#This Row],[OrderDate]])</f>
        <v>8</v>
      </c>
    </row>
    <row r="864" spans="1:11" x14ac:dyDescent="0.25">
      <c r="A864">
        <v>1819</v>
      </c>
      <c r="B864">
        <v>342</v>
      </c>
      <c r="C864" s="1">
        <v>45524</v>
      </c>
      <c r="D864">
        <v>175.06</v>
      </c>
      <c r="E864" t="s">
        <v>17</v>
      </c>
      <c r="F864" t="s">
        <v>18</v>
      </c>
      <c r="G864">
        <f>COUNTIF(Data[CustomerID], Data[[#This Row],[CustomerID]])</f>
        <v>2</v>
      </c>
      <c r="H864" s="1" t="str">
        <f>TEXT(Data[OrderDate],"yyyy-mmm")</f>
        <v>2024-Aug</v>
      </c>
      <c r="I864">
        <f>IF(
   COUNTIFS(
      Data[CustomerID], Data[[#This Row],[CustomerID]],
      Data[OrderDate], "&lt;" &amp; EOMONTH(Data[[#This Row],[OrderDate]], -1) + 1
   ) &gt; 0,
   1,
   0
)</f>
        <v>1</v>
      </c>
      <c r="J864">
        <f>YEAR(Data[[#This Row],[OrderDate]])</f>
        <v>2024</v>
      </c>
      <c r="K864" s="2">
        <f>MONTH(Data[[#This Row],[OrderDate]])</f>
        <v>8</v>
      </c>
    </row>
    <row r="865" spans="1:11" x14ac:dyDescent="0.25">
      <c r="A865">
        <v>1052</v>
      </c>
      <c r="B865">
        <v>576</v>
      </c>
      <c r="C865" s="1">
        <v>45525</v>
      </c>
      <c r="D865">
        <v>26.65</v>
      </c>
      <c r="E865" t="s">
        <v>13</v>
      </c>
      <c r="F865" t="s">
        <v>19</v>
      </c>
      <c r="G865">
        <f>COUNTIF(Data[CustomerID], Data[[#This Row],[CustomerID]])</f>
        <v>3</v>
      </c>
      <c r="H865" s="1" t="str">
        <f>TEXT(Data[OrderDate],"yyyy-mmm")</f>
        <v>2024-Aug</v>
      </c>
      <c r="I865">
        <f>IF(
   COUNTIFS(
      Data[CustomerID], Data[[#This Row],[CustomerID]],
      Data[OrderDate], "&lt;" &amp; EOMONTH(Data[[#This Row],[OrderDate]], -1) + 1
   ) &gt; 0,
   1,
   0
)</f>
        <v>1</v>
      </c>
      <c r="J865">
        <f>YEAR(Data[[#This Row],[OrderDate]])</f>
        <v>2024</v>
      </c>
      <c r="K865" s="2">
        <f>MONTH(Data[[#This Row],[OrderDate]])</f>
        <v>8</v>
      </c>
    </row>
    <row r="866" spans="1:11" x14ac:dyDescent="0.25">
      <c r="A866">
        <v>1683</v>
      </c>
      <c r="B866">
        <v>298</v>
      </c>
      <c r="C866" s="1">
        <v>45527</v>
      </c>
      <c r="D866">
        <v>453.42</v>
      </c>
      <c r="E866" t="s">
        <v>9</v>
      </c>
      <c r="F866" t="s">
        <v>19</v>
      </c>
      <c r="G866">
        <f>COUNTIF(Data[CustomerID], Data[[#This Row],[CustomerID]])</f>
        <v>3</v>
      </c>
      <c r="H866" s="1" t="str">
        <f>TEXT(Data[OrderDate],"yyyy-mmm")</f>
        <v>2024-Aug</v>
      </c>
      <c r="I866">
        <f>IF(
   COUNTIFS(
      Data[CustomerID], Data[[#This Row],[CustomerID]],
      Data[OrderDate], "&lt;" &amp; EOMONTH(Data[[#This Row],[OrderDate]], -1) + 1
   ) &gt; 0,
   1,
   0
)</f>
        <v>1</v>
      </c>
      <c r="J866">
        <f>YEAR(Data[[#This Row],[OrderDate]])</f>
        <v>2024</v>
      </c>
      <c r="K866" s="2">
        <f>MONTH(Data[[#This Row],[OrderDate]])</f>
        <v>8</v>
      </c>
    </row>
    <row r="867" spans="1:11" x14ac:dyDescent="0.25">
      <c r="A867">
        <v>1800</v>
      </c>
      <c r="B867">
        <v>418</v>
      </c>
      <c r="C867" s="1">
        <v>45528</v>
      </c>
      <c r="D867">
        <v>81.13</v>
      </c>
      <c r="E867" t="s">
        <v>6</v>
      </c>
      <c r="F867" t="s">
        <v>12</v>
      </c>
      <c r="G867">
        <f>COUNTIF(Data[CustomerID], Data[[#This Row],[CustomerID]])</f>
        <v>1</v>
      </c>
      <c r="H867" s="1" t="str">
        <f>TEXT(Data[OrderDate],"yyyy-mmm")</f>
        <v>2024-Aug</v>
      </c>
      <c r="I867">
        <f>IF(
   COUNTIFS(
      Data[CustomerID], Data[[#This Row],[CustomerID]],
      Data[OrderDate], "&lt;" &amp; EOMONTH(Data[[#This Row],[OrderDate]], -1) + 1
   ) &gt; 0,
   1,
   0
)</f>
        <v>0</v>
      </c>
      <c r="J867">
        <f>YEAR(Data[[#This Row],[OrderDate]])</f>
        <v>2024</v>
      </c>
      <c r="K867" s="2">
        <f>MONTH(Data[[#This Row],[OrderDate]])</f>
        <v>8</v>
      </c>
    </row>
    <row r="868" spans="1:11" x14ac:dyDescent="0.25">
      <c r="A868">
        <v>1397</v>
      </c>
      <c r="B868">
        <v>823</v>
      </c>
      <c r="C868" s="1">
        <v>45528</v>
      </c>
      <c r="D868">
        <v>144.80000000000001</v>
      </c>
      <c r="E868" t="s">
        <v>13</v>
      </c>
      <c r="F868" t="s">
        <v>14</v>
      </c>
      <c r="G868">
        <f>COUNTIF(Data[CustomerID], Data[[#This Row],[CustomerID]])</f>
        <v>3</v>
      </c>
      <c r="H868" s="1" t="str">
        <f>TEXT(Data[OrderDate],"yyyy-mmm")</f>
        <v>2024-Aug</v>
      </c>
      <c r="I868">
        <f>IF(
   COUNTIFS(
      Data[CustomerID], Data[[#This Row],[CustomerID]],
      Data[OrderDate], "&lt;" &amp; EOMONTH(Data[[#This Row],[OrderDate]], -1) + 1
   ) &gt; 0,
   1,
   0
)</f>
        <v>1</v>
      </c>
      <c r="J868">
        <f>YEAR(Data[[#This Row],[OrderDate]])</f>
        <v>2024</v>
      </c>
      <c r="K868" s="2">
        <f>MONTH(Data[[#This Row],[OrderDate]])</f>
        <v>8</v>
      </c>
    </row>
    <row r="869" spans="1:11" x14ac:dyDescent="0.25">
      <c r="A869">
        <v>1461</v>
      </c>
      <c r="B869">
        <v>111</v>
      </c>
      <c r="C869" s="1">
        <v>45530</v>
      </c>
      <c r="D869">
        <v>209.45</v>
      </c>
      <c r="E869" t="s">
        <v>11</v>
      </c>
      <c r="F869" t="s">
        <v>7</v>
      </c>
      <c r="G869">
        <f>COUNTIF(Data[CustomerID], Data[[#This Row],[CustomerID]])</f>
        <v>2</v>
      </c>
      <c r="H869" s="1" t="str">
        <f>TEXT(Data[OrderDate],"yyyy-mmm")</f>
        <v>2024-Aug</v>
      </c>
      <c r="I869">
        <f>IF(
   COUNTIFS(
      Data[CustomerID], Data[[#This Row],[CustomerID]],
      Data[OrderDate], "&lt;" &amp; EOMONTH(Data[[#This Row],[OrderDate]], -1) + 1
   ) &gt; 0,
   1,
   0
)</f>
        <v>1</v>
      </c>
      <c r="J869">
        <f>YEAR(Data[[#This Row],[OrderDate]])</f>
        <v>2024</v>
      </c>
      <c r="K869" s="2">
        <f>MONTH(Data[[#This Row],[OrderDate]])</f>
        <v>8</v>
      </c>
    </row>
    <row r="870" spans="1:11" x14ac:dyDescent="0.25">
      <c r="A870">
        <v>1627</v>
      </c>
      <c r="B870">
        <v>389</v>
      </c>
      <c r="C870" s="1">
        <v>45530</v>
      </c>
      <c r="D870">
        <v>36.24</v>
      </c>
      <c r="E870" t="s">
        <v>11</v>
      </c>
      <c r="F870" t="s">
        <v>12</v>
      </c>
      <c r="G870">
        <f>COUNTIF(Data[CustomerID], Data[[#This Row],[CustomerID]])</f>
        <v>2</v>
      </c>
      <c r="H870" s="1" t="str">
        <f>TEXT(Data[OrderDate],"yyyy-mmm")</f>
        <v>2024-Aug</v>
      </c>
      <c r="I870">
        <f>IF(
   COUNTIFS(
      Data[CustomerID], Data[[#This Row],[CustomerID]],
      Data[OrderDate], "&lt;" &amp; EOMONTH(Data[[#This Row],[OrderDate]], -1) + 1
   ) &gt; 0,
   1,
   0
)</f>
        <v>1</v>
      </c>
      <c r="J870">
        <f>YEAR(Data[[#This Row],[OrderDate]])</f>
        <v>2024</v>
      </c>
      <c r="K870" s="2">
        <f>MONTH(Data[[#This Row],[OrderDate]])</f>
        <v>8</v>
      </c>
    </row>
    <row r="871" spans="1:11" x14ac:dyDescent="0.25">
      <c r="A871">
        <v>1569</v>
      </c>
      <c r="B871">
        <v>500</v>
      </c>
      <c r="C871" s="1">
        <v>45530</v>
      </c>
      <c r="D871">
        <v>252.17</v>
      </c>
      <c r="E871" t="s">
        <v>13</v>
      </c>
      <c r="F871" t="s">
        <v>10</v>
      </c>
      <c r="G871">
        <f>COUNTIF(Data[CustomerID], Data[[#This Row],[CustomerID]])</f>
        <v>2</v>
      </c>
      <c r="H871" s="1" t="str">
        <f>TEXT(Data[OrderDate],"yyyy-mmm")</f>
        <v>2024-Aug</v>
      </c>
      <c r="I871">
        <f>IF(
   COUNTIFS(
      Data[CustomerID], Data[[#This Row],[CustomerID]],
      Data[OrderDate], "&lt;" &amp; EOMONTH(Data[[#This Row],[OrderDate]], -1) + 1
   ) &gt; 0,
   1,
   0
)</f>
        <v>1</v>
      </c>
      <c r="J871">
        <f>YEAR(Data[[#This Row],[OrderDate]])</f>
        <v>2024</v>
      </c>
      <c r="K871" s="2">
        <f>MONTH(Data[[#This Row],[OrderDate]])</f>
        <v>8</v>
      </c>
    </row>
    <row r="872" spans="1:11" x14ac:dyDescent="0.25">
      <c r="A872">
        <v>1357</v>
      </c>
      <c r="B872">
        <v>953</v>
      </c>
      <c r="C872" s="1">
        <v>45530</v>
      </c>
      <c r="D872">
        <v>312.57</v>
      </c>
      <c r="E872" t="s">
        <v>6</v>
      </c>
      <c r="F872" t="s">
        <v>7</v>
      </c>
      <c r="G872">
        <f>COUNTIF(Data[CustomerID], Data[[#This Row],[CustomerID]])</f>
        <v>1</v>
      </c>
      <c r="H872" s="1" t="str">
        <f>TEXT(Data[OrderDate],"yyyy-mmm")</f>
        <v>2024-Aug</v>
      </c>
      <c r="I872">
        <f>IF(
   COUNTIFS(
      Data[CustomerID], Data[[#This Row],[CustomerID]],
      Data[OrderDate], "&lt;" &amp; EOMONTH(Data[[#This Row],[OrderDate]], -1) + 1
   ) &gt; 0,
   1,
   0
)</f>
        <v>0</v>
      </c>
      <c r="J872">
        <f>YEAR(Data[[#This Row],[OrderDate]])</f>
        <v>2024</v>
      </c>
      <c r="K872" s="2">
        <f>MONTH(Data[[#This Row],[OrderDate]])</f>
        <v>8</v>
      </c>
    </row>
    <row r="873" spans="1:11" x14ac:dyDescent="0.25">
      <c r="A873">
        <v>1958</v>
      </c>
      <c r="B873">
        <v>975</v>
      </c>
      <c r="C873" s="1">
        <v>45531</v>
      </c>
      <c r="D873">
        <v>173.5</v>
      </c>
      <c r="E873" t="s">
        <v>15</v>
      </c>
      <c r="F873" t="s">
        <v>14</v>
      </c>
      <c r="G873">
        <f>COUNTIF(Data[CustomerID], Data[[#This Row],[CustomerID]])</f>
        <v>2</v>
      </c>
      <c r="H873" s="1" t="str">
        <f>TEXT(Data[OrderDate],"yyyy-mmm")</f>
        <v>2024-Aug</v>
      </c>
      <c r="I873">
        <f>IF(
   COUNTIFS(
      Data[CustomerID], Data[[#This Row],[CustomerID]],
      Data[OrderDate], "&lt;" &amp; EOMONTH(Data[[#This Row],[OrderDate]], -1) + 1
   ) &gt; 0,
   1,
   0
)</f>
        <v>1</v>
      </c>
      <c r="J873">
        <f>YEAR(Data[[#This Row],[OrderDate]])</f>
        <v>2024</v>
      </c>
      <c r="K873" s="2">
        <f>MONTH(Data[[#This Row],[OrderDate]])</f>
        <v>8</v>
      </c>
    </row>
    <row r="874" spans="1:11" x14ac:dyDescent="0.25">
      <c r="A874">
        <v>1797</v>
      </c>
      <c r="B874">
        <v>229</v>
      </c>
      <c r="C874" s="1">
        <v>45532</v>
      </c>
      <c r="D874">
        <v>300.26</v>
      </c>
      <c r="E874" t="s">
        <v>17</v>
      </c>
      <c r="F874" t="s">
        <v>19</v>
      </c>
      <c r="G874">
        <f>COUNTIF(Data[CustomerID], Data[[#This Row],[CustomerID]])</f>
        <v>4</v>
      </c>
      <c r="H874" s="1" t="str">
        <f>TEXT(Data[OrderDate],"yyyy-mmm")</f>
        <v>2024-Aug</v>
      </c>
      <c r="I874">
        <f>IF(
   COUNTIFS(
      Data[CustomerID], Data[[#This Row],[CustomerID]],
      Data[OrderDate], "&lt;" &amp; EOMONTH(Data[[#This Row],[OrderDate]], -1) + 1
   ) &gt; 0,
   1,
   0
)</f>
        <v>1</v>
      </c>
      <c r="J874">
        <f>YEAR(Data[[#This Row],[OrderDate]])</f>
        <v>2024</v>
      </c>
      <c r="K874" s="2">
        <f>MONTH(Data[[#This Row],[OrderDate]])</f>
        <v>8</v>
      </c>
    </row>
    <row r="875" spans="1:11" x14ac:dyDescent="0.25">
      <c r="A875">
        <v>1563</v>
      </c>
      <c r="B875">
        <v>272</v>
      </c>
      <c r="C875" s="1">
        <v>45532</v>
      </c>
      <c r="D875">
        <v>202.95</v>
      </c>
      <c r="E875" t="s">
        <v>11</v>
      </c>
      <c r="F875" t="s">
        <v>14</v>
      </c>
      <c r="G875">
        <f>COUNTIF(Data[CustomerID], Data[[#This Row],[CustomerID]])</f>
        <v>3</v>
      </c>
      <c r="H875" s="1" t="str">
        <f>TEXT(Data[OrderDate],"yyyy-mmm")</f>
        <v>2024-Aug</v>
      </c>
      <c r="I875">
        <f>IF(
   COUNTIFS(
      Data[CustomerID], Data[[#This Row],[CustomerID]],
      Data[OrderDate], "&lt;" &amp; EOMONTH(Data[[#This Row],[OrderDate]], -1) + 1
   ) &gt; 0,
   1,
   0
)</f>
        <v>1</v>
      </c>
      <c r="J875">
        <f>YEAR(Data[[#This Row],[OrderDate]])</f>
        <v>2024</v>
      </c>
      <c r="K875" s="2">
        <f>MONTH(Data[[#This Row],[OrderDate]])</f>
        <v>8</v>
      </c>
    </row>
    <row r="876" spans="1:11" x14ac:dyDescent="0.25">
      <c r="A876">
        <v>1838</v>
      </c>
      <c r="B876">
        <v>213</v>
      </c>
      <c r="C876" s="1">
        <v>45533</v>
      </c>
      <c r="D876">
        <v>383.77</v>
      </c>
      <c r="E876" t="s">
        <v>20</v>
      </c>
      <c r="F876" t="s">
        <v>18</v>
      </c>
      <c r="G876">
        <f>COUNTIF(Data[CustomerID], Data[[#This Row],[CustomerID]])</f>
        <v>2</v>
      </c>
      <c r="H876" s="1" t="str">
        <f>TEXT(Data[OrderDate],"yyyy-mmm")</f>
        <v>2024-Aug</v>
      </c>
      <c r="I876">
        <f>IF(
   COUNTIFS(
      Data[CustomerID], Data[[#This Row],[CustomerID]],
      Data[OrderDate], "&lt;" &amp; EOMONTH(Data[[#This Row],[OrderDate]], -1) + 1
   ) &gt; 0,
   1,
   0
)</f>
        <v>1</v>
      </c>
      <c r="J876">
        <f>YEAR(Data[[#This Row],[OrderDate]])</f>
        <v>2024</v>
      </c>
      <c r="K876" s="2">
        <f>MONTH(Data[[#This Row],[OrderDate]])</f>
        <v>8</v>
      </c>
    </row>
    <row r="877" spans="1:11" x14ac:dyDescent="0.25">
      <c r="A877">
        <v>1753</v>
      </c>
      <c r="B877">
        <v>723</v>
      </c>
      <c r="C877" s="1">
        <v>45534</v>
      </c>
      <c r="D877">
        <v>354.48</v>
      </c>
      <c r="E877" t="s">
        <v>6</v>
      </c>
      <c r="F877" t="s">
        <v>10</v>
      </c>
      <c r="G877">
        <f>COUNTIF(Data[CustomerID], Data[[#This Row],[CustomerID]])</f>
        <v>2</v>
      </c>
      <c r="H877" s="1" t="str">
        <f>TEXT(Data[OrderDate],"yyyy-mmm")</f>
        <v>2024-Aug</v>
      </c>
      <c r="I877">
        <f>IF(
   COUNTIFS(
      Data[CustomerID], Data[[#This Row],[CustomerID]],
      Data[OrderDate], "&lt;" &amp; EOMONTH(Data[[#This Row],[OrderDate]], -1) + 1
   ) &gt; 0,
   1,
   0
)</f>
        <v>1</v>
      </c>
      <c r="J877">
        <f>YEAR(Data[[#This Row],[OrderDate]])</f>
        <v>2024</v>
      </c>
      <c r="K877" s="2">
        <f>MONTH(Data[[#This Row],[OrderDate]])</f>
        <v>8</v>
      </c>
    </row>
    <row r="878" spans="1:11" x14ac:dyDescent="0.25">
      <c r="A878">
        <v>1565</v>
      </c>
      <c r="B878">
        <v>499</v>
      </c>
      <c r="C878" s="1">
        <v>45535</v>
      </c>
      <c r="D878">
        <v>324.81</v>
      </c>
      <c r="E878" t="s">
        <v>20</v>
      </c>
      <c r="F878" t="s">
        <v>10</v>
      </c>
      <c r="G878">
        <f>COUNTIF(Data[CustomerID], Data[[#This Row],[CustomerID]])</f>
        <v>4</v>
      </c>
      <c r="H878" s="1" t="str">
        <f>TEXT(Data[OrderDate],"yyyy-mmm")</f>
        <v>2024-Aug</v>
      </c>
      <c r="I878">
        <f>IF(
   COUNTIFS(
      Data[CustomerID], Data[[#This Row],[CustomerID]],
      Data[OrderDate], "&lt;" &amp; EOMONTH(Data[[#This Row],[OrderDate]], -1) + 1
   ) &gt; 0,
   1,
   0
)</f>
        <v>1</v>
      </c>
      <c r="J878">
        <f>YEAR(Data[[#This Row],[OrderDate]])</f>
        <v>2024</v>
      </c>
      <c r="K878" s="2">
        <f>MONTH(Data[[#This Row],[OrderDate]])</f>
        <v>8</v>
      </c>
    </row>
    <row r="879" spans="1:11" x14ac:dyDescent="0.25">
      <c r="A879">
        <v>1458</v>
      </c>
      <c r="B879">
        <v>14</v>
      </c>
      <c r="C879" s="1">
        <v>45536</v>
      </c>
      <c r="D879">
        <v>375.84</v>
      </c>
      <c r="E879" t="s">
        <v>9</v>
      </c>
      <c r="F879" t="s">
        <v>19</v>
      </c>
      <c r="G879">
        <f>COUNTIF(Data[CustomerID], Data[[#This Row],[CustomerID]])</f>
        <v>1</v>
      </c>
      <c r="H879" s="1" t="str">
        <f>TEXT(Data[OrderDate],"yyyy-mmm")</f>
        <v>2024-Sep</v>
      </c>
      <c r="I879">
        <f>IF(
   COUNTIFS(
      Data[CustomerID], Data[[#This Row],[CustomerID]],
      Data[OrderDate], "&lt;" &amp; EOMONTH(Data[[#This Row],[OrderDate]], -1) + 1
   ) &gt; 0,
   1,
   0
)</f>
        <v>0</v>
      </c>
      <c r="J879">
        <f>YEAR(Data[[#This Row],[OrderDate]])</f>
        <v>2024</v>
      </c>
      <c r="K879" s="2">
        <f>MONTH(Data[[#This Row],[OrderDate]])</f>
        <v>9</v>
      </c>
    </row>
    <row r="880" spans="1:11" x14ac:dyDescent="0.25">
      <c r="A880">
        <v>1313</v>
      </c>
      <c r="B880">
        <v>563</v>
      </c>
      <c r="C880" s="1">
        <v>45536</v>
      </c>
      <c r="D880">
        <v>39.28</v>
      </c>
      <c r="E880" t="s">
        <v>6</v>
      </c>
      <c r="F880" t="s">
        <v>14</v>
      </c>
      <c r="G880">
        <f>COUNTIF(Data[CustomerID], Data[[#This Row],[CustomerID]])</f>
        <v>2</v>
      </c>
      <c r="H880" s="1" t="str">
        <f>TEXT(Data[OrderDate],"yyyy-mmm")</f>
        <v>2024-Sep</v>
      </c>
      <c r="I880">
        <f>IF(
   COUNTIFS(
      Data[CustomerID], Data[[#This Row],[CustomerID]],
      Data[OrderDate], "&lt;" &amp; EOMONTH(Data[[#This Row],[OrderDate]], -1) + 1
   ) &gt; 0,
   1,
   0
)</f>
        <v>1</v>
      </c>
      <c r="J880">
        <f>YEAR(Data[[#This Row],[OrderDate]])</f>
        <v>2024</v>
      </c>
      <c r="K880" s="2">
        <f>MONTH(Data[[#This Row],[OrderDate]])</f>
        <v>9</v>
      </c>
    </row>
    <row r="881" spans="1:11" x14ac:dyDescent="0.25">
      <c r="A881">
        <v>1876</v>
      </c>
      <c r="B881">
        <v>583</v>
      </c>
      <c r="C881" s="1">
        <v>45536</v>
      </c>
      <c r="D881">
        <v>86.02</v>
      </c>
      <c r="E881" t="s">
        <v>11</v>
      </c>
      <c r="F881" t="s">
        <v>10</v>
      </c>
      <c r="G881">
        <f>COUNTIF(Data[CustomerID], Data[[#This Row],[CustomerID]])</f>
        <v>1</v>
      </c>
      <c r="H881" s="1" t="str">
        <f>TEXT(Data[OrderDate],"yyyy-mmm")</f>
        <v>2024-Sep</v>
      </c>
      <c r="I881">
        <f>IF(
   COUNTIFS(
      Data[CustomerID], Data[[#This Row],[CustomerID]],
      Data[OrderDate], "&lt;" &amp; EOMONTH(Data[[#This Row],[OrderDate]], -1) + 1
   ) &gt; 0,
   1,
   0
)</f>
        <v>0</v>
      </c>
      <c r="J881">
        <f>YEAR(Data[[#This Row],[OrderDate]])</f>
        <v>2024</v>
      </c>
      <c r="K881" s="2">
        <f>MONTH(Data[[#This Row],[OrderDate]])</f>
        <v>9</v>
      </c>
    </row>
    <row r="882" spans="1:11" x14ac:dyDescent="0.25">
      <c r="A882">
        <v>1505</v>
      </c>
      <c r="B882">
        <v>801</v>
      </c>
      <c r="C882" s="1">
        <v>45536</v>
      </c>
      <c r="D882">
        <v>60.41</v>
      </c>
      <c r="E882" t="s">
        <v>13</v>
      </c>
      <c r="F882" t="s">
        <v>7</v>
      </c>
      <c r="G882">
        <f>COUNTIF(Data[CustomerID], Data[[#This Row],[CustomerID]])</f>
        <v>3</v>
      </c>
      <c r="H882" s="1" t="str">
        <f>TEXT(Data[OrderDate],"yyyy-mmm")</f>
        <v>2024-Sep</v>
      </c>
      <c r="I882">
        <f>IF(
   COUNTIFS(
      Data[CustomerID], Data[[#This Row],[CustomerID]],
      Data[OrderDate], "&lt;" &amp; EOMONTH(Data[[#This Row],[OrderDate]], -1) + 1
   ) &gt; 0,
   1,
   0
)</f>
        <v>1</v>
      </c>
      <c r="J882">
        <f>YEAR(Data[[#This Row],[OrderDate]])</f>
        <v>2024</v>
      </c>
      <c r="K882" s="2">
        <f>MONTH(Data[[#This Row],[OrderDate]])</f>
        <v>9</v>
      </c>
    </row>
    <row r="883" spans="1:11" x14ac:dyDescent="0.25">
      <c r="A883">
        <v>1690</v>
      </c>
      <c r="B883">
        <v>194</v>
      </c>
      <c r="C883" s="1">
        <v>45539</v>
      </c>
      <c r="D883">
        <v>60.99</v>
      </c>
      <c r="E883" t="s">
        <v>15</v>
      </c>
      <c r="F883" t="s">
        <v>18</v>
      </c>
      <c r="G883">
        <f>COUNTIF(Data[CustomerID], Data[[#This Row],[CustomerID]])</f>
        <v>2</v>
      </c>
      <c r="H883" s="1" t="str">
        <f>TEXT(Data[OrderDate],"yyyy-mmm")</f>
        <v>2024-Sep</v>
      </c>
      <c r="I883">
        <f>IF(
   COUNTIFS(
      Data[CustomerID], Data[[#This Row],[CustomerID]],
      Data[OrderDate], "&lt;" &amp; EOMONTH(Data[[#This Row],[OrderDate]], -1) + 1
   ) &gt; 0,
   1,
   0
)</f>
        <v>1</v>
      </c>
      <c r="J883">
        <f>YEAR(Data[[#This Row],[OrderDate]])</f>
        <v>2024</v>
      </c>
      <c r="K883" s="2">
        <f>MONTH(Data[[#This Row],[OrderDate]])</f>
        <v>9</v>
      </c>
    </row>
    <row r="884" spans="1:11" x14ac:dyDescent="0.25">
      <c r="A884">
        <v>1112</v>
      </c>
      <c r="B884">
        <v>268</v>
      </c>
      <c r="C884" s="1">
        <v>45539</v>
      </c>
      <c r="D884">
        <v>268.47000000000003</v>
      </c>
      <c r="E884" t="s">
        <v>17</v>
      </c>
      <c r="F884" t="s">
        <v>18</v>
      </c>
      <c r="G884">
        <f>COUNTIF(Data[CustomerID], Data[[#This Row],[CustomerID]])</f>
        <v>3</v>
      </c>
      <c r="H884" s="1" t="str">
        <f>TEXT(Data[OrderDate],"yyyy-mmm")</f>
        <v>2024-Sep</v>
      </c>
      <c r="I884">
        <f>IF(
   COUNTIFS(
      Data[CustomerID], Data[[#This Row],[CustomerID]],
      Data[OrderDate], "&lt;" &amp; EOMONTH(Data[[#This Row],[OrderDate]], -1) + 1
   ) &gt; 0,
   1,
   0
)</f>
        <v>1</v>
      </c>
      <c r="J884">
        <f>YEAR(Data[[#This Row],[OrderDate]])</f>
        <v>2024</v>
      </c>
      <c r="K884" s="2">
        <f>MONTH(Data[[#This Row],[OrderDate]])</f>
        <v>9</v>
      </c>
    </row>
    <row r="885" spans="1:11" x14ac:dyDescent="0.25">
      <c r="A885">
        <v>1253</v>
      </c>
      <c r="B885">
        <v>397</v>
      </c>
      <c r="C885" s="1">
        <v>45539</v>
      </c>
      <c r="D885">
        <v>413.52</v>
      </c>
      <c r="E885" t="s">
        <v>11</v>
      </c>
      <c r="F885" t="s">
        <v>19</v>
      </c>
      <c r="G885">
        <f>COUNTIF(Data[CustomerID], Data[[#This Row],[CustomerID]])</f>
        <v>3</v>
      </c>
      <c r="H885" s="1" t="str">
        <f>TEXT(Data[OrderDate],"yyyy-mmm")</f>
        <v>2024-Sep</v>
      </c>
      <c r="I885">
        <f>IF(
   COUNTIFS(
      Data[CustomerID], Data[[#This Row],[CustomerID]],
      Data[OrderDate], "&lt;" &amp; EOMONTH(Data[[#This Row],[OrderDate]], -1) + 1
   ) &gt; 0,
   1,
   0
)</f>
        <v>1</v>
      </c>
      <c r="J885">
        <f>YEAR(Data[[#This Row],[OrderDate]])</f>
        <v>2024</v>
      </c>
      <c r="K885" s="2">
        <f>MONTH(Data[[#This Row],[OrderDate]])</f>
        <v>9</v>
      </c>
    </row>
    <row r="886" spans="1:11" x14ac:dyDescent="0.25">
      <c r="A886">
        <v>1284</v>
      </c>
      <c r="B886">
        <v>647</v>
      </c>
      <c r="C886" s="1">
        <v>45539</v>
      </c>
      <c r="D886">
        <v>340.8</v>
      </c>
      <c r="E886" t="s">
        <v>9</v>
      </c>
      <c r="F886" t="s">
        <v>18</v>
      </c>
      <c r="G886">
        <f>COUNTIF(Data[CustomerID], Data[[#This Row],[CustomerID]])</f>
        <v>2</v>
      </c>
      <c r="H886" s="1" t="str">
        <f>TEXT(Data[OrderDate],"yyyy-mmm")</f>
        <v>2024-Sep</v>
      </c>
      <c r="I886">
        <f>IF(
   COUNTIFS(
      Data[CustomerID], Data[[#This Row],[CustomerID]],
      Data[OrderDate], "&lt;" &amp; EOMONTH(Data[[#This Row],[OrderDate]], -1) + 1
   ) &gt; 0,
   1,
   0
)</f>
        <v>1</v>
      </c>
      <c r="J886">
        <f>YEAR(Data[[#This Row],[OrderDate]])</f>
        <v>2024</v>
      </c>
      <c r="K886" s="2">
        <f>MONTH(Data[[#This Row],[OrderDate]])</f>
        <v>9</v>
      </c>
    </row>
    <row r="887" spans="1:11" x14ac:dyDescent="0.25">
      <c r="A887">
        <v>1987</v>
      </c>
      <c r="B887">
        <v>691</v>
      </c>
      <c r="C887" s="1">
        <v>45541</v>
      </c>
      <c r="D887">
        <v>35.96</v>
      </c>
      <c r="E887" t="s">
        <v>8</v>
      </c>
      <c r="F887" t="s">
        <v>14</v>
      </c>
      <c r="G887">
        <f>COUNTIF(Data[CustomerID], Data[[#This Row],[CustomerID]])</f>
        <v>2</v>
      </c>
      <c r="H887" s="1" t="str">
        <f>TEXT(Data[OrderDate],"yyyy-mmm")</f>
        <v>2024-Sep</v>
      </c>
      <c r="I887">
        <f>IF(
   COUNTIFS(
      Data[CustomerID], Data[[#This Row],[CustomerID]],
      Data[OrderDate], "&lt;" &amp; EOMONTH(Data[[#This Row],[OrderDate]], -1) + 1
   ) &gt; 0,
   1,
   0
)</f>
        <v>1</v>
      </c>
      <c r="J887">
        <f>YEAR(Data[[#This Row],[OrderDate]])</f>
        <v>2024</v>
      </c>
      <c r="K887" s="2">
        <f>MONTH(Data[[#This Row],[OrderDate]])</f>
        <v>9</v>
      </c>
    </row>
    <row r="888" spans="1:11" x14ac:dyDescent="0.25">
      <c r="A888">
        <v>1835</v>
      </c>
      <c r="B888">
        <v>304</v>
      </c>
      <c r="C888" s="1">
        <v>45542</v>
      </c>
      <c r="D888">
        <v>426.33</v>
      </c>
      <c r="E888" t="s">
        <v>15</v>
      </c>
      <c r="F888" t="s">
        <v>18</v>
      </c>
      <c r="G888">
        <f>COUNTIF(Data[CustomerID], Data[[#This Row],[CustomerID]])</f>
        <v>1</v>
      </c>
      <c r="H888" s="1" t="str">
        <f>TEXT(Data[OrderDate],"yyyy-mmm")</f>
        <v>2024-Sep</v>
      </c>
      <c r="I888">
        <f>IF(
   COUNTIFS(
      Data[CustomerID], Data[[#This Row],[CustomerID]],
      Data[OrderDate], "&lt;" &amp; EOMONTH(Data[[#This Row],[OrderDate]], -1) + 1
   ) &gt; 0,
   1,
   0
)</f>
        <v>0</v>
      </c>
      <c r="J888">
        <f>YEAR(Data[[#This Row],[OrderDate]])</f>
        <v>2024</v>
      </c>
      <c r="K888" s="2">
        <f>MONTH(Data[[#This Row],[OrderDate]])</f>
        <v>9</v>
      </c>
    </row>
    <row r="889" spans="1:11" x14ac:dyDescent="0.25">
      <c r="A889">
        <v>1197</v>
      </c>
      <c r="B889">
        <v>316</v>
      </c>
      <c r="C889" s="1">
        <v>45542</v>
      </c>
      <c r="D889">
        <v>159.57</v>
      </c>
      <c r="E889" t="s">
        <v>15</v>
      </c>
      <c r="F889" t="s">
        <v>10</v>
      </c>
      <c r="G889">
        <f>COUNTIF(Data[CustomerID], Data[[#This Row],[CustomerID]])</f>
        <v>1</v>
      </c>
      <c r="H889" s="1" t="str">
        <f>TEXT(Data[OrderDate],"yyyy-mmm")</f>
        <v>2024-Sep</v>
      </c>
      <c r="I889">
        <f>IF(
   COUNTIFS(
      Data[CustomerID], Data[[#This Row],[CustomerID]],
      Data[OrderDate], "&lt;" &amp; EOMONTH(Data[[#This Row],[OrderDate]], -1) + 1
   ) &gt; 0,
   1,
   0
)</f>
        <v>0</v>
      </c>
      <c r="J889">
        <f>YEAR(Data[[#This Row],[OrderDate]])</f>
        <v>2024</v>
      </c>
      <c r="K889" s="2">
        <f>MONTH(Data[[#This Row],[OrderDate]])</f>
        <v>9</v>
      </c>
    </row>
    <row r="890" spans="1:11" x14ac:dyDescent="0.25">
      <c r="A890">
        <v>1098</v>
      </c>
      <c r="B890">
        <v>378</v>
      </c>
      <c r="C890" s="1">
        <v>45542</v>
      </c>
      <c r="D890">
        <v>369.9</v>
      </c>
      <c r="E890" t="s">
        <v>9</v>
      </c>
      <c r="F890" t="s">
        <v>12</v>
      </c>
      <c r="G890">
        <f>COUNTIF(Data[CustomerID], Data[[#This Row],[CustomerID]])</f>
        <v>7</v>
      </c>
      <c r="H890" s="1" t="str">
        <f>TEXT(Data[OrderDate],"yyyy-mmm")</f>
        <v>2024-Sep</v>
      </c>
      <c r="I890">
        <f>IF(
   COUNTIFS(
      Data[CustomerID], Data[[#This Row],[CustomerID]],
      Data[OrderDate], "&lt;" &amp; EOMONTH(Data[[#This Row],[OrderDate]], -1) + 1
   ) &gt; 0,
   1,
   0
)</f>
        <v>1</v>
      </c>
      <c r="J890">
        <f>YEAR(Data[[#This Row],[OrderDate]])</f>
        <v>2024</v>
      </c>
      <c r="K890" s="2">
        <f>MONTH(Data[[#This Row],[OrderDate]])</f>
        <v>9</v>
      </c>
    </row>
    <row r="891" spans="1:11" x14ac:dyDescent="0.25">
      <c r="A891">
        <v>1207</v>
      </c>
      <c r="B891">
        <v>381</v>
      </c>
      <c r="C891" s="1">
        <v>45542</v>
      </c>
      <c r="D891">
        <v>337.42</v>
      </c>
      <c r="E891" t="s">
        <v>6</v>
      </c>
      <c r="F891" t="s">
        <v>14</v>
      </c>
      <c r="G891">
        <f>COUNTIF(Data[CustomerID], Data[[#This Row],[CustomerID]])</f>
        <v>1</v>
      </c>
      <c r="H891" s="1" t="str">
        <f>TEXT(Data[OrderDate],"yyyy-mmm")</f>
        <v>2024-Sep</v>
      </c>
      <c r="I891">
        <f>IF(
   COUNTIFS(
      Data[CustomerID], Data[[#This Row],[CustomerID]],
      Data[OrderDate], "&lt;" &amp; EOMONTH(Data[[#This Row],[OrderDate]], -1) + 1
   ) &gt; 0,
   1,
   0
)</f>
        <v>0</v>
      </c>
      <c r="J891">
        <f>YEAR(Data[[#This Row],[OrderDate]])</f>
        <v>2024</v>
      </c>
      <c r="K891" s="2">
        <f>MONTH(Data[[#This Row],[OrderDate]])</f>
        <v>9</v>
      </c>
    </row>
    <row r="892" spans="1:11" x14ac:dyDescent="0.25">
      <c r="A892">
        <v>1703</v>
      </c>
      <c r="B892">
        <v>633</v>
      </c>
      <c r="C892" s="1">
        <v>45542</v>
      </c>
      <c r="D892">
        <v>158.91</v>
      </c>
      <c r="E892" t="s">
        <v>6</v>
      </c>
      <c r="F892" t="s">
        <v>14</v>
      </c>
      <c r="G892">
        <f>COUNTIF(Data[CustomerID], Data[[#This Row],[CustomerID]])</f>
        <v>2</v>
      </c>
      <c r="H892" s="1" t="str">
        <f>TEXT(Data[OrderDate],"yyyy-mmm")</f>
        <v>2024-Sep</v>
      </c>
      <c r="I892">
        <f>IF(
   COUNTIFS(
      Data[CustomerID], Data[[#This Row],[CustomerID]],
      Data[OrderDate], "&lt;" &amp; EOMONTH(Data[[#This Row],[OrderDate]], -1) + 1
   ) &gt; 0,
   1,
   0
)</f>
        <v>1</v>
      </c>
      <c r="J892">
        <f>YEAR(Data[[#This Row],[OrderDate]])</f>
        <v>2024</v>
      </c>
      <c r="K892" s="2">
        <f>MONTH(Data[[#This Row],[OrderDate]])</f>
        <v>9</v>
      </c>
    </row>
    <row r="893" spans="1:11" x14ac:dyDescent="0.25">
      <c r="A893">
        <v>1143</v>
      </c>
      <c r="B893">
        <v>803</v>
      </c>
      <c r="C893" s="1">
        <v>45543</v>
      </c>
      <c r="D893">
        <v>489.14</v>
      </c>
      <c r="E893" t="s">
        <v>9</v>
      </c>
      <c r="F893" t="s">
        <v>18</v>
      </c>
      <c r="G893">
        <f>COUNTIF(Data[CustomerID], Data[[#This Row],[CustomerID]])</f>
        <v>4</v>
      </c>
      <c r="H893" s="1" t="str">
        <f>TEXT(Data[OrderDate],"yyyy-mmm")</f>
        <v>2024-Sep</v>
      </c>
      <c r="I893">
        <f>IF(
   COUNTIFS(
      Data[CustomerID], Data[[#This Row],[CustomerID]],
      Data[OrderDate], "&lt;" &amp; EOMONTH(Data[[#This Row],[OrderDate]], -1) + 1
   ) &gt; 0,
   1,
   0
)</f>
        <v>1</v>
      </c>
      <c r="J893">
        <f>YEAR(Data[[#This Row],[OrderDate]])</f>
        <v>2024</v>
      </c>
      <c r="K893" s="2">
        <f>MONTH(Data[[#This Row],[OrderDate]])</f>
        <v>9</v>
      </c>
    </row>
    <row r="894" spans="1:11" x14ac:dyDescent="0.25">
      <c r="A894">
        <v>1663</v>
      </c>
      <c r="B894">
        <v>696</v>
      </c>
      <c r="C894" s="1">
        <v>45546</v>
      </c>
      <c r="D894">
        <v>90.87</v>
      </c>
      <c r="E894" t="s">
        <v>20</v>
      </c>
      <c r="F894" t="s">
        <v>12</v>
      </c>
      <c r="G894">
        <f>COUNTIF(Data[CustomerID], Data[[#This Row],[CustomerID]])</f>
        <v>4</v>
      </c>
      <c r="H894" s="1" t="str">
        <f>TEXT(Data[OrderDate],"yyyy-mmm")</f>
        <v>2024-Sep</v>
      </c>
      <c r="I894">
        <f>IF(
   COUNTIFS(
      Data[CustomerID], Data[[#This Row],[CustomerID]],
      Data[OrderDate], "&lt;" &amp; EOMONTH(Data[[#This Row],[OrderDate]], -1) + 1
   ) &gt; 0,
   1,
   0
)</f>
        <v>1</v>
      </c>
      <c r="J894">
        <f>YEAR(Data[[#This Row],[OrderDate]])</f>
        <v>2024</v>
      </c>
      <c r="K894" s="2">
        <f>MONTH(Data[[#This Row],[OrderDate]])</f>
        <v>9</v>
      </c>
    </row>
    <row r="895" spans="1:11" x14ac:dyDescent="0.25">
      <c r="A895">
        <v>1509</v>
      </c>
      <c r="B895">
        <v>400</v>
      </c>
      <c r="C895" s="1">
        <v>45548</v>
      </c>
      <c r="D895">
        <v>437.3</v>
      </c>
      <c r="E895" t="s">
        <v>9</v>
      </c>
      <c r="F895" t="s">
        <v>12</v>
      </c>
      <c r="G895">
        <f>COUNTIF(Data[CustomerID], Data[[#This Row],[CustomerID]])</f>
        <v>2</v>
      </c>
      <c r="H895" s="1" t="str">
        <f>TEXT(Data[OrderDate],"yyyy-mmm")</f>
        <v>2024-Sep</v>
      </c>
      <c r="I895">
        <f>IF(
   COUNTIFS(
      Data[CustomerID], Data[[#This Row],[CustomerID]],
      Data[OrderDate], "&lt;" &amp; EOMONTH(Data[[#This Row],[OrderDate]], -1) + 1
   ) &gt; 0,
   1,
   0
)</f>
        <v>1</v>
      </c>
      <c r="J895">
        <f>YEAR(Data[[#This Row],[OrderDate]])</f>
        <v>2024</v>
      </c>
      <c r="K895" s="2">
        <f>MONTH(Data[[#This Row],[OrderDate]])</f>
        <v>9</v>
      </c>
    </row>
    <row r="896" spans="1:11" x14ac:dyDescent="0.25">
      <c r="A896">
        <v>1839</v>
      </c>
      <c r="B896">
        <v>157</v>
      </c>
      <c r="C896" s="1">
        <v>45549</v>
      </c>
      <c r="D896">
        <v>116.23</v>
      </c>
      <c r="E896" t="s">
        <v>15</v>
      </c>
      <c r="F896" t="s">
        <v>16</v>
      </c>
      <c r="G896">
        <f>COUNTIF(Data[CustomerID], Data[[#This Row],[CustomerID]])</f>
        <v>1</v>
      </c>
      <c r="H896" s="1" t="str">
        <f>TEXT(Data[OrderDate],"yyyy-mmm")</f>
        <v>2024-Sep</v>
      </c>
      <c r="I896">
        <f>IF(
   COUNTIFS(
      Data[CustomerID], Data[[#This Row],[CustomerID]],
      Data[OrderDate], "&lt;" &amp; EOMONTH(Data[[#This Row],[OrderDate]], -1) + 1
   ) &gt; 0,
   1,
   0
)</f>
        <v>0</v>
      </c>
      <c r="J896">
        <f>YEAR(Data[[#This Row],[OrderDate]])</f>
        <v>2024</v>
      </c>
      <c r="K896" s="2">
        <f>MONTH(Data[[#This Row],[OrderDate]])</f>
        <v>9</v>
      </c>
    </row>
    <row r="897" spans="1:11" x14ac:dyDescent="0.25">
      <c r="A897">
        <v>1014</v>
      </c>
      <c r="B897">
        <v>189</v>
      </c>
      <c r="C897" s="1">
        <v>45549</v>
      </c>
      <c r="D897">
        <v>13.67</v>
      </c>
      <c r="E897" t="s">
        <v>11</v>
      </c>
      <c r="F897" t="s">
        <v>16</v>
      </c>
      <c r="G897">
        <f>COUNTIF(Data[CustomerID], Data[[#This Row],[CustomerID]])</f>
        <v>2</v>
      </c>
      <c r="H897" s="1" t="str">
        <f>TEXT(Data[OrderDate],"yyyy-mmm")</f>
        <v>2024-Sep</v>
      </c>
      <c r="I897">
        <f>IF(
   COUNTIFS(
      Data[CustomerID], Data[[#This Row],[CustomerID]],
      Data[OrderDate], "&lt;" &amp; EOMONTH(Data[[#This Row],[OrderDate]], -1) + 1
   ) &gt; 0,
   1,
   0
)</f>
        <v>1</v>
      </c>
      <c r="J897">
        <f>YEAR(Data[[#This Row],[OrderDate]])</f>
        <v>2024</v>
      </c>
      <c r="K897" s="2">
        <f>MONTH(Data[[#This Row],[OrderDate]])</f>
        <v>9</v>
      </c>
    </row>
    <row r="898" spans="1:11" x14ac:dyDescent="0.25">
      <c r="A898">
        <v>1348</v>
      </c>
      <c r="B898">
        <v>328</v>
      </c>
      <c r="C898" s="1">
        <v>45549</v>
      </c>
      <c r="D898">
        <v>225.67</v>
      </c>
      <c r="E898" t="s">
        <v>11</v>
      </c>
      <c r="F898" t="s">
        <v>18</v>
      </c>
      <c r="G898">
        <f>COUNTIF(Data[CustomerID], Data[[#This Row],[CustomerID]])</f>
        <v>2</v>
      </c>
      <c r="H898" s="1" t="str">
        <f>TEXT(Data[OrderDate],"yyyy-mmm")</f>
        <v>2024-Sep</v>
      </c>
      <c r="I898">
        <f>IF(
   COUNTIFS(
      Data[CustomerID], Data[[#This Row],[CustomerID]],
      Data[OrderDate], "&lt;" &amp; EOMONTH(Data[[#This Row],[OrderDate]], -1) + 1
   ) &gt; 0,
   1,
   0
)</f>
        <v>1</v>
      </c>
      <c r="J898">
        <f>YEAR(Data[[#This Row],[OrderDate]])</f>
        <v>2024</v>
      </c>
      <c r="K898" s="2">
        <f>MONTH(Data[[#This Row],[OrderDate]])</f>
        <v>9</v>
      </c>
    </row>
    <row r="899" spans="1:11" x14ac:dyDescent="0.25">
      <c r="A899">
        <v>1815</v>
      </c>
      <c r="B899">
        <v>380</v>
      </c>
      <c r="C899" s="1">
        <v>45549</v>
      </c>
      <c r="D899">
        <v>125.61</v>
      </c>
      <c r="E899" t="s">
        <v>9</v>
      </c>
      <c r="F899" t="s">
        <v>12</v>
      </c>
      <c r="G899">
        <f>COUNTIF(Data[CustomerID], Data[[#This Row],[CustomerID]])</f>
        <v>4</v>
      </c>
      <c r="H899" s="1" t="str">
        <f>TEXT(Data[OrderDate],"yyyy-mmm")</f>
        <v>2024-Sep</v>
      </c>
      <c r="I899">
        <f>IF(
   COUNTIFS(
      Data[CustomerID], Data[[#This Row],[CustomerID]],
      Data[OrderDate], "&lt;" &amp; EOMONTH(Data[[#This Row],[OrderDate]], -1) + 1
   ) &gt; 0,
   1,
   0
)</f>
        <v>1</v>
      </c>
      <c r="J899">
        <f>YEAR(Data[[#This Row],[OrderDate]])</f>
        <v>2024</v>
      </c>
      <c r="K899" s="2">
        <f>MONTH(Data[[#This Row],[OrderDate]])</f>
        <v>9</v>
      </c>
    </row>
    <row r="900" spans="1:11" x14ac:dyDescent="0.25">
      <c r="A900">
        <v>1116</v>
      </c>
      <c r="B900">
        <v>609</v>
      </c>
      <c r="C900" s="1">
        <v>45549</v>
      </c>
      <c r="D900">
        <v>50.48</v>
      </c>
      <c r="E900" t="s">
        <v>20</v>
      </c>
      <c r="F900" t="s">
        <v>12</v>
      </c>
      <c r="G900">
        <f>COUNTIF(Data[CustomerID], Data[[#This Row],[CustomerID]])</f>
        <v>2</v>
      </c>
      <c r="H900" s="1" t="str">
        <f>TEXT(Data[OrderDate],"yyyy-mmm")</f>
        <v>2024-Sep</v>
      </c>
      <c r="I900">
        <f>IF(
   COUNTIFS(
      Data[CustomerID], Data[[#This Row],[CustomerID]],
      Data[OrderDate], "&lt;" &amp; EOMONTH(Data[[#This Row],[OrderDate]], -1) + 1
   ) &gt; 0,
   1,
   0
)</f>
        <v>1</v>
      </c>
      <c r="J900">
        <f>YEAR(Data[[#This Row],[OrderDate]])</f>
        <v>2024</v>
      </c>
      <c r="K900" s="2">
        <f>MONTH(Data[[#This Row],[OrderDate]])</f>
        <v>9</v>
      </c>
    </row>
    <row r="901" spans="1:11" x14ac:dyDescent="0.25">
      <c r="A901">
        <v>1243</v>
      </c>
      <c r="B901">
        <v>55</v>
      </c>
      <c r="C901" s="1">
        <v>45550</v>
      </c>
      <c r="D901">
        <v>25.17</v>
      </c>
      <c r="E901" t="s">
        <v>6</v>
      </c>
      <c r="F901" t="s">
        <v>7</v>
      </c>
      <c r="G901">
        <f>COUNTIF(Data[CustomerID], Data[[#This Row],[CustomerID]])</f>
        <v>1</v>
      </c>
      <c r="H901" s="1" t="str">
        <f>TEXT(Data[OrderDate],"yyyy-mmm")</f>
        <v>2024-Sep</v>
      </c>
      <c r="I901">
        <f>IF(
   COUNTIFS(
      Data[CustomerID], Data[[#This Row],[CustomerID]],
      Data[OrderDate], "&lt;" &amp; EOMONTH(Data[[#This Row],[OrderDate]], -1) + 1
   ) &gt; 0,
   1,
   0
)</f>
        <v>0</v>
      </c>
      <c r="J901">
        <f>YEAR(Data[[#This Row],[OrderDate]])</f>
        <v>2024</v>
      </c>
      <c r="K901" s="2">
        <f>MONTH(Data[[#This Row],[OrderDate]])</f>
        <v>9</v>
      </c>
    </row>
    <row r="902" spans="1:11" x14ac:dyDescent="0.25">
      <c r="A902">
        <v>1170</v>
      </c>
      <c r="B902">
        <v>208</v>
      </c>
      <c r="C902" s="1">
        <v>45550</v>
      </c>
      <c r="D902">
        <v>377.45</v>
      </c>
      <c r="E902" t="s">
        <v>8</v>
      </c>
      <c r="F902" t="s">
        <v>7</v>
      </c>
      <c r="G902">
        <f>COUNTIF(Data[CustomerID], Data[[#This Row],[CustomerID]])</f>
        <v>1</v>
      </c>
      <c r="H902" s="1" t="str">
        <f>TEXT(Data[OrderDate],"yyyy-mmm")</f>
        <v>2024-Sep</v>
      </c>
      <c r="I902">
        <f>IF(
   COUNTIFS(
      Data[CustomerID], Data[[#This Row],[CustomerID]],
      Data[OrderDate], "&lt;" &amp; EOMONTH(Data[[#This Row],[OrderDate]], -1) + 1
   ) &gt; 0,
   1,
   0
)</f>
        <v>0</v>
      </c>
      <c r="J902">
        <f>YEAR(Data[[#This Row],[OrderDate]])</f>
        <v>2024</v>
      </c>
      <c r="K902" s="2">
        <f>MONTH(Data[[#This Row],[OrderDate]])</f>
        <v>9</v>
      </c>
    </row>
    <row r="903" spans="1:11" x14ac:dyDescent="0.25">
      <c r="A903">
        <v>1810</v>
      </c>
      <c r="B903">
        <v>520</v>
      </c>
      <c r="C903" s="1">
        <v>45550</v>
      </c>
      <c r="D903">
        <v>130.26</v>
      </c>
      <c r="E903" t="s">
        <v>8</v>
      </c>
      <c r="F903" t="s">
        <v>12</v>
      </c>
      <c r="G903">
        <f>COUNTIF(Data[CustomerID], Data[[#This Row],[CustomerID]])</f>
        <v>1</v>
      </c>
      <c r="H903" s="1" t="str">
        <f>TEXT(Data[OrderDate],"yyyy-mmm")</f>
        <v>2024-Sep</v>
      </c>
      <c r="I903">
        <f>IF(
   COUNTIFS(
      Data[CustomerID], Data[[#This Row],[CustomerID]],
      Data[OrderDate], "&lt;" &amp; EOMONTH(Data[[#This Row],[OrderDate]], -1) + 1
   ) &gt; 0,
   1,
   0
)</f>
        <v>0</v>
      </c>
      <c r="J903">
        <f>YEAR(Data[[#This Row],[OrderDate]])</f>
        <v>2024</v>
      </c>
      <c r="K903" s="2">
        <f>MONTH(Data[[#This Row],[OrderDate]])</f>
        <v>9</v>
      </c>
    </row>
    <row r="904" spans="1:11" x14ac:dyDescent="0.25">
      <c r="A904">
        <v>1128</v>
      </c>
      <c r="B904">
        <v>138</v>
      </c>
      <c r="C904" s="1">
        <v>45551</v>
      </c>
      <c r="D904">
        <v>474.55</v>
      </c>
      <c r="E904" t="s">
        <v>11</v>
      </c>
      <c r="F904" t="s">
        <v>7</v>
      </c>
      <c r="G904">
        <f>COUNTIF(Data[CustomerID], Data[[#This Row],[CustomerID]])</f>
        <v>1</v>
      </c>
      <c r="H904" s="1" t="str">
        <f>TEXT(Data[OrderDate],"yyyy-mmm")</f>
        <v>2024-Sep</v>
      </c>
      <c r="I904">
        <f>IF(
   COUNTIFS(
      Data[CustomerID], Data[[#This Row],[CustomerID]],
      Data[OrderDate], "&lt;" &amp; EOMONTH(Data[[#This Row],[OrderDate]], -1) + 1
   ) &gt; 0,
   1,
   0
)</f>
        <v>0</v>
      </c>
      <c r="J904">
        <f>YEAR(Data[[#This Row],[OrderDate]])</f>
        <v>2024</v>
      </c>
      <c r="K904" s="2">
        <f>MONTH(Data[[#This Row],[OrderDate]])</f>
        <v>9</v>
      </c>
    </row>
    <row r="905" spans="1:11" x14ac:dyDescent="0.25">
      <c r="A905">
        <v>1763</v>
      </c>
      <c r="B905">
        <v>362</v>
      </c>
      <c r="C905" s="1">
        <v>45553</v>
      </c>
      <c r="D905">
        <v>48.94</v>
      </c>
      <c r="E905" t="s">
        <v>13</v>
      </c>
      <c r="F905" t="s">
        <v>18</v>
      </c>
      <c r="G905">
        <f>COUNTIF(Data[CustomerID], Data[[#This Row],[CustomerID]])</f>
        <v>4</v>
      </c>
      <c r="H905" s="1" t="str">
        <f>TEXT(Data[OrderDate],"yyyy-mmm")</f>
        <v>2024-Sep</v>
      </c>
      <c r="I905">
        <f>IF(
   COUNTIFS(
      Data[CustomerID], Data[[#This Row],[CustomerID]],
      Data[OrderDate], "&lt;" &amp; EOMONTH(Data[[#This Row],[OrderDate]], -1) + 1
   ) &gt; 0,
   1,
   0
)</f>
        <v>1</v>
      </c>
      <c r="J905">
        <f>YEAR(Data[[#This Row],[OrderDate]])</f>
        <v>2024</v>
      </c>
      <c r="K905" s="2">
        <f>MONTH(Data[[#This Row],[OrderDate]])</f>
        <v>9</v>
      </c>
    </row>
    <row r="906" spans="1:11" x14ac:dyDescent="0.25">
      <c r="A906">
        <v>1571</v>
      </c>
      <c r="B906">
        <v>577</v>
      </c>
      <c r="C906" s="1">
        <v>45555</v>
      </c>
      <c r="D906">
        <v>59.85</v>
      </c>
      <c r="E906" t="s">
        <v>6</v>
      </c>
      <c r="F906" t="s">
        <v>7</v>
      </c>
      <c r="G906">
        <f>COUNTIF(Data[CustomerID], Data[[#This Row],[CustomerID]])</f>
        <v>2</v>
      </c>
      <c r="H906" s="1" t="str">
        <f>TEXT(Data[OrderDate],"yyyy-mmm")</f>
        <v>2024-Sep</v>
      </c>
      <c r="I906">
        <f>IF(
   COUNTIFS(
      Data[CustomerID], Data[[#This Row],[CustomerID]],
      Data[OrderDate], "&lt;" &amp; EOMONTH(Data[[#This Row],[OrderDate]], -1) + 1
   ) &gt; 0,
   1,
   0
)</f>
        <v>0</v>
      </c>
      <c r="J906">
        <f>YEAR(Data[[#This Row],[OrderDate]])</f>
        <v>2024</v>
      </c>
      <c r="K906" s="2">
        <f>MONTH(Data[[#This Row],[OrderDate]])</f>
        <v>9</v>
      </c>
    </row>
    <row r="907" spans="1:11" x14ac:dyDescent="0.25">
      <c r="A907">
        <v>1658</v>
      </c>
      <c r="B907">
        <v>679</v>
      </c>
      <c r="C907" s="1">
        <v>45555</v>
      </c>
      <c r="D907">
        <v>78.75</v>
      </c>
      <c r="E907" t="s">
        <v>20</v>
      </c>
      <c r="F907" t="s">
        <v>14</v>
      </c>
      <c r="G907">
        <f>COUNTIF(Data[CustomerID], Data[[#This Row],[CustomerID]])</f>
        <v>5</v>
      </c>
      <c r="H907" s="1" t="str">
        <f>TEXT(Data[OrderDate],"yyyy-mmm")</f>
        <v>2024-Sep</v>
      </c>
      <c r="I907">
        <f>IF(
   COUNTIFS(
      Data[CustomerID], Data[[#This Row],[CustomerID]],
      Data[OrderDate], "&lt;" &amp; EOMONTH(Data[[#This Row],[OrderDate]], -1) + 1
   ) &gt; 0,
   1,
   0
)</f>
        <v>1</v>
      </c>
      <c r="J907">
        <f>YEAR(Data[[#This Row],[OrderDate]])</f>
        <v>2024</v>
      </c>
      <c r="K907" s="2">
        <f>MONTH(Data[[#This Row],[OrderDate]])</f>
        <v>9</v>
      </c>
    </row>
    <row r="908" spans="1:11" x14ac:dyDescent="0.25">
      <c r="A908">
        <v>1282</v>
      </c>
      <c r="B908">
        <v>446</v>
      </c>
      <c r="C908" s="1">
        <v>45556</v>
      </c>
      <c r="D908">
        <v>5.16</v>
      </c>
      <c r="E908" t="s">
        <v>6</v>
      </c>
      <c r="F908" t="s">
        <v>7</v>
      </c>
      <c r="G908">
        <f>COUNTIF(Data[CustomerID], Data[[#This Row],[CustomerID]])</f>
        <v>2</v>
      </c>
      <c r="H908" s="1" t="str">
        <f>TEXT(Data[OrderDate],"yyyy-mmm")</f>
        <v>2024-Sep</v>
      </c>
      <c r="I908">
        <f>IF(
   COUNTIFS(
      Data[CustomerID], Data[[#This Row],[CustomerID]],
      Data[OrderDate], "&lt;" &amp; EOMONTH(Data[[#This Row],[OrderDate]], -1) + 1
   ) &gt; 0,
   1,
   0
)</f>
        <v>1</v>
      </c>
      <c r="J908">
        <f>YEAR(Data[[#This Row],[OrderDate]])</f>
        <v>2024</v>
      </c>
      <c r="K908" s="2">
        <f>MONTH(Data[[#This Row],[OrderDate]])</f>
        <v>9</v>
      </c>
    </row>
    <row r="909" spans="1:11" x14ac:dyDescent="0.25">
      <c r="A909">
        <v>1573</v>
      </c>
      <c r="B909">
        <v>164</v>
      </c>
      <c r="C909" s="1">
        <v>45557</v>
      </c>
      <c r="D909">
        <v>242.55</v>
      </c>
      <c r="E909" t="s">
        <v>20</v>
      </c>
      <c r="F909" t="s">
        <v>19</v>
      </c>
      <c r="G909">
        <f>COUNTIF(Data[CustomerID], Data[[#This Row],[CustomerID]])</f>
        <v>2</v>
      </c>
      <c r="H909" s="1" t="str">
        <f>TEXT(Data[OrderDate],"yyyy-mmm")</f>
        <v>2024-Sep</v>
      </c>
      <c r="I909">
        <f>IF(
   COUNTIFS(
      Data[CustomerID], Data[[#This Row],[CustomerID]],
      Data[OrderDate], "&lt;" &amp; EOMONTH(Data[[#This Row],[OrderDate]], -1) + 1
   ) &gt; 0,
   1,
   0
)</f>
        <v>1</v>
      </c>
      <c r="J909">
        <f>YEAR(Data[[#This Row],[OrderDate]])</f>
        <v>2024</v>
      </c>
      <c r="K909" s="2">
        <f>MONTH(Data[[#This Row],[OrderDate]])</f>
        <v>9</v>
      </c>
    </row>
    <row r="910" spans="1:11" x14ac:dyDescent="0.25">
      <c r="A910">
        <v>1399</v>
      </c>
      <c r="B910">
        <v>543</v>
      </c>
      <c r="C910" s="1">
        <v>45558</v>
      </c>
      <c r="D910">
        <v>495.84</v>
      </c>
      <c r="E910" t="s">
        <v>13</v>
      </c>
      <c r="F910" t="s">
        <v>16</v>
      </c>
      <c r="G910">
        <f>COUNTIF(Data[CustomerID], Data[[#This Row],[CustomerID]])</f>
        <v>1</v>
      </c>
      <c r="H910" s="1" t="str">
        <f>TEXT(Data[OrderDate],"yyyy-mmm")</f>
        <v>2024-Sep</v>
      </c>
      <c r="I910">
        <f>IF(
   COUNTIFS(
      Data[CustomerID], Data[[#This Row],[CustomerID]],
      Data[OrderDate], "&lt;" &amp; EOMONTH(Data[[#This Row],[OrderDate]], -1) + 1
   ) &gt; 0,
   1,
   0
)</f>
        <v>0</v>
      </c>
      <c r="J910">
        <f>YEAR(Data[[#This Row],[OrderDate]])</f>
        <v>2024</v>
      </c>
      <c r="K910" s="2">
        <f>MONTH(Data[[#This Row],[OrderDate]])</f>
        <v>9</v>
      </c>
    </row>
    <row r="911" spans="1:11" x14ac:dyDescent="0.25">
      <c r="A911">
        <v>1269</v>
      </c>
      <c r="B911">
        <v>106</v>
      </c>
      <c r="C911" s="1">
        <v>45560</v>
      </c>
      <c r="D911">
        <v>205.63</v>
      </c>
      <c r="E911" t="s">
        <v>6</v>
      </c>
      <c r="F911" t="s">
        <v>16</v>
      </c>
      <c r="G911">
        <f>COUNTIF(Data[CustomerID], Data[[#This Row],[CustomerID]])</f>
        <v>1</v>
      </c>
      <c r="H911" s="1" t="str">
        <f>TEXT(Data[OrderDate],"yyyy-mmm")</f>
        <v>2024-Sep</v>
      </c>
      <c r="I911">
        <f>IF(
   COUNTIFS(
      Data[CustomerID], Data[[#This Row],[CustomerID]],
      Data[OrderDate], "&lt;" &amp; EOMONTH(Data[[#This Row],[OrderDate]], -1) + 1
   ) &gt; 0,
   1,
   0
)</f>
        <v>0</v>
      </c>
      <c r="J911">
        <f>YEAR(Data[[#This Row],[OrderDate]])</f>
        <v>2024</v>
      </c>
      <c r="K911" s="2">
        <f>MONTH(Data[[#This Row],[OrderDate]])</f>
        <v>9</v>
      </c>
    </row>
    <row r="912" spans="1:11" x14ac:dyDescent="0.25">
      <c r="A912">
        <v>1822</v>
      </c>
      <c r="B912">
        <v>589</v>
      </c>
      <c r="C912" s="1">
        <v>45560</v>
      </c>
      <c r="D912">
        <v>496.25</v>
      </c>
      <c r="E912" t="s">
        <v>6</v>
      </c>
      <c r="F912" t="s">
        <v>16</v>
      </c>
      <c r="G912">
        <f>COUNTIF(Data[CustomerID], Data[[#This Row],[CustomerID]])</f>
        <v>1</v>
      </c>
      <c r="H912" s="1" t="str">
        <f>TEXT(Data[OrderDate],"yyyy-mmm")</f>
        <v>2024-Sep</v>
      </c>
      <c r="I912">
        <f>IF(
   COUNTIFS(
      Data[CustomerID], Data[[#This Row],[CustomerID]],
      Data[OrderDate], "&lt;" &amp; EOMONTH(Data[[#This Row],[OrderDate]], -1) + 1
   ) &gt; 0,
   1,
   0
)</f>
        <v>0</v>
      </c>
      <c r="J912">
        <f>YEAR(Data[[#This Row],[OrderDate]])</f>
        <v>2024</v>
      </c>
      <c r="K912" s="2">
        <f>MONTH(Data[[#This Row],[OrderDate]])</f>
        <v>9</v>
      </c>
    </row>
    <row r="913" spans="1:11" x14ac:dyDescent="0.25">
      <c r="A913">
        <v>1935</v>
      </c>
      <c r="B913">
        <v>345</v>
      </c>
      <c r="C913" s="1">
        <v>45561</v>
      </c>
      <c r="D913">
        <v>416.77</v>
      </c>
      <c r="E913" t="s">
        <v>6</v>
      </c>
      <c r="F913" t="s">
        <v>19</v>
      </c>
      <c r="G913">
        <f>COUNTIF(Data[CustomerID], Data[[#This Row],[CustomerID]])</f>
        <v>2</v>
      </c>
      <c r="H913" s="1" t="str">
        <f>TEXT(Data[OrderDate],"yyyy-mmm")</f>
        <v>2024-Sep</v>
      </c>
      <c r="I913">
        <f>IF(
   COUNTIFS(
      Data[CustomerID], Data[[#This Row],[CustomerID]],
      Data[OrderDate], "&lt;" &amp; EOMONTH(Data[[#This Row],[OrderDate]], -1) + 1
   ) &gt; 0,
   1,
   0
)</f>
        <v>1</v>
      </c>
      <c r="J913">
        <f>YEAR(Data[[#This Row],[OrderDate]])</f>
        <v>2024</v>
      </c>
      <c r="K913" s="2">
        <f>MONTH(Data[[#This Row],[OrderDate]])</f>
        <v>9</v>
      </c>
    </row>
    <row r="914" spans="1:11" x14ac:dyDescent="0.25">
      <c r="A914">
        <v>1068</v>
      </c>
      <c r="B914">
        <v>805</v>
      </c>
      <c r="C914" s="1">
        <v>45561</v>
      </c>
      <c r="D914">
        <v>251.14</v>
      </c>
      <c r="E914" t="s">
        <v>20</v>
      </c>
      <c r="F914" t="s">
        <v>10</v>
      </c>
      <c r="G914">
        <f>COUNTIF(Data[CustomerID], Data[[#This Row],[CustomerID]])</f>
        <v>2</v>
      </c>
      <c r="H914" s="1" t="str">
        <f>TEXT(Data[OrderDate],"yyyy-mmm")</f>
        <v>2024-Sep</v>
      </c>
      <c r="I914">
        <f>IF(
   COUNTIFS(
      Data[CustomerID], Data[[#This Row],[CustomerID]],
      Data[OrderDate], "&lt;" &amp; EOMONTH(Data[[#This Row],[OrderDate]], -1) + 1
   ) &gt; 0,
   1,
   0
)</f>
        <v>1</v>
      </c>
      <c r="J914">
        <f>YEAR(Data[[#This Row],[OrderDate]])</f>
        <v>2024</v>
      </c>
      <c r="K914" s="2">
        <f>MONTH(Data[[#This Row],[OrderDate]])</f>
        <v>9</v>
      </c>
    </row>
    <row r="915" spans="1:11" x14ac:dyDescent="0.25">
      <c r="A915">
        <v>1183</v>
      </c>
      <c r="B915">
        <v>307</v>
      </c>
      <c r="C915" s="1">
        <v>45563</v>
      </c>
      <c r="D915">
        <v>384.49</v>
      </c>
      <c r="E915" t="s">
        <v>6</v>
      </c>
      <c r="F915" t="s">
        <v>12</v>
      </c>
      <c r="G915">
        <f>COUNTIF(Data[CustomerID], Data[[#This Row],[CustomerID]])</f>
        <v>1</v>
      </c>
      <c r="H915" s="1" t="str">
        <f>TEXT(Data[OrderDate],"yyyy-mmm")</f>
        <v>2024-Sep</v>
      </c>
      <c r="I915">
        <f>IF(
   COUNTIFS(
      Data[CustomerID], Data[[#This Row],[CustomerID]],
      Data[OrderDate], "&lt;" &amp; EOMONTH(Data[[#This Row],[OrderDate]], -1) + 1
   ) &gt; 0,
   1,
   0
)</f>
        <v>0</v>
      </c>
      <c r="J915">
        <f>YEAR(Data[[#This Row],[OrderDate]])</f>
        <v>2024</v>
      </c>
      <c r="K915" s="2">
        <f>MONTH(Data[[#This Row],[OrderDate]])</f>
        <v>9</v>
      </c>
    </row>
    <row r="916" spans="1:11" x14ac:dyDescent="0.25">
      <c r="A916">
        <v>1138</v>
      </c>
      <c r="B916">
        <v>142</v>
      </c>
      <c r="C916" s="1">
        <v>45565</v>
      </c>
      <c r="D916">
        <v>304.74</v>
      </c>
      <c r="E916" t="s">
        <v>20</v>
      </c>
      <c r="F916" t="s">
        <v>12</v>
      </c>
      <c r="G916">
        <f>COUNTIF(Data[CustomerID], Data[[#This Row],[CustomerID]])</f>
        <v>1</v>
      </c>
      <c r="H916" s="1" t="str">
        <f>TEXT(Data[OrderDate],"yyyy-mmm")</f>
        <v>2024-Sep</v>
      </c>
      <c r="I916">
        <f>IF(
   COUNTIFS(
      Data[CustomerID], Data[[#This Row],[CustomerID]],
      Data[OrderDate], "&lt;" &amp; EOMONTH(Data[[#This Row],[OrderDate]], -1) + 1
   ) &gt; 0,
   1,
   0
)</f>
        <v>0</v>
      </c>
      <c r="J916">
        <f>YEAR(Data[[#This Row],[OrderDate]])</f>
        <v>2024</v>
      </c>
      <c r="K916" s="2">
        <f>MONTH(Data[[#This Row],[OrderDate]])</f>
        <v>9</v>
      </c>
    </row>
    <row r="917" spans="1:11" x14ac:dyDescent="0.25">
      <c r="A917">
        <v>1134</v>
      </c>
      <c r="B917">
        <v>426</v>
      </c>
      <c r="C917" s="1">
        <v>45566</v>
      </c>
      <c r="D917">
        <v>305.14999999999998</v>
      </c>
      <c r="E917" t="s">
        <v>11</v>
      </c>
      <c r="F917" t="s">
        <v>18</v>
      </c>
      <c r="G917">
        <f>COUNTIF(Data[CustomerID], Data[[#This Row],[CustomerID]])</f>
        <v>2</v>
      </c>
      <c r="H917" s="1" t="str">
        <f>TEXT(Data[OrderDate],"yyyy-mmm")</f>
        <v>2024-Oct</v>
      </c>
      <c r="I917">
        <f>IF(
   COUNTIFS(
      Data[CustomerID], Data[[#This Row],[CustomerID]],
      Data[OrderDate], "&lt;" &amp; EOMONTH(Data[[#This Row],[OrderDate]], -1) + 1
   ) &gt; 0,
   1,
   0
)</f>
        <v>1</v>
      </c>
      <c r="J917">
        <f>YEAR(Data[[#This Row],[OrderDate]])</f>
        <v>2024</v>
      </c>
      <c r="K917" s="2">
        <f>MONTH(Data[[#This Row],[OrderDate]])</f>
        <v>10</v>
      </c>
    </row>
    <row r="918" spans="1:11" x14ac:dyDescent="0.25">
      <c r="A918">
        <v>1271</v>
      </c>
      <c r="B918">
        <v>630</v>
      </c>
      <c r="C918" s="1">
        <v>45567</v>
      </c>
      <c r="D918">
        <v>101.01</v>
      </c>
      <c r="E918" t="s">
        <v>11</v>
      </c>
      <c r="F918" t="s">
        <v>18</v>
      </c>
      <c r="G918">
        <f>COUNTIF(Data[CustomerID], Data[[#This Row],[CustomerID]])</f>
        <v>1</v>
      </c>
      <c r="H918" s="1" t="str">
        <f>TEXT(Data[OrderDate],"yyyy-mmm")</f>
        <v>2024-Oct</v>
      </c>
      <c r="I918">
        <f>IF(
   COUNTIFS(
      Data[CustomerID], Data[[#This Row],[CustomerID]],
      Data[OrderDate], "&lt;" &amp; EOMONTH(Data[[#This Row],[OrderDate]], -1) + 1
   ) &gt; 0,
   1,
   0
)</f>
        <v>0</v>
      </c>
      <c r="J918">
        <f>YEAR(Data[[#This Row],[OrderDate]])</f>
        <v>2024</v>
      </c>
      <c r="K918" s="2">
        <f>MONTH(Data[[#This Row],[OrderDate]])</f>
        <v>10</v>
      </c>
    </row>
    <row r="919" spans="1:11" x14ac:dyDescent="0.25">
      <c r="A919">
        <v>1607</v>
      </c>
      <c r="B919">
        <v>264</v>
      </c>
      <c r="C919" s="1">
        <v>45568</v>
      </c>
      <c r="D919">
        <v>310.58999999999997</v>
      </c>
      <c r="E919" t="s">
        <v>9</v>
      </c>
      <c r="F919" t="s">
        <v>7</v>
      </c>
      <c r="G919">
        <f>COUNTIF(Data[CustomerID], Data[[#This Row],[CustomerID]])</f>
        <v>2</v>
      </c>
      <c r="H919" s="1" t="str">
        <f>TEXT(Data[OrderDate],"yyyy-mmm")</f>
        <v>2024-Oct</v>
      </c>
      <c r="I919">
        <f>IF(
   COUNTIFS(
      Data[CustomerID], Data[[#This Row],[CustomerID]],
      Data[OrderDate], "&lt;" &amp; EOMONTH(Data[[#This Row],[OrderDate]], -1) + 1
   ) &gt; 0,
   1,
   0
)</f>
        <v>1</v>
      </c>
      <c r="J919">
        <f>YEAR(Data[[#This Row],[OrderDate]])</f>
        <v>2024</v>
      </c>
      <c r="K919" s="2">
        <f>MONTH(Data[[#This Row],[OrderDate]])</f>
        <v>10</v>
      </c>
    </row>
    <row r="920" spans="1:11" x14ac:dyDescent="0.25">
      <c r="A920">
        <v>1301</v>
      </c>
      <c r="B920">
        <v>480</v>
      </c>
      <c r="C920" s="1">
        <v>45569</v>
      </c>
      <c r="D920">
        <v>92.56</v>
      </c>
      <c r="E920" t="s">
        <v>20</v>
      </c>
      <c r="F920" t="s">
        <v>16</v>
      </c>
      <c r="G920">
        <f>COUNTIF(Data[CustomerID], Data[[#This Row],[CustomerID]])</f>
        <v>2</v>
      </c>
      <c r="H920" s="1" t="str">
        <f>TEXT(Data[OrderDate],"yyyy-mmm")</f>
        <v>2024-Oct</v>
      </c>
      <c r="I920">
        <f>IF(
   COUNTIFS(
      Data[CustomerID], Data[[#This Row],[CustomerID]],
      Data[OrderDate], "&lt;" &amp; EOMONTH(Data[[#This Row],[OrderDate]], -1) + 1
   ) &gt; 0,
   1,
   0
)</f>
        <v>1</v>
      </c>
      <c r="J920">
        <f>YEAR(Data[[#This Row],[OrderDate]])</f>
        <v>2024</v>
      </c>
      <c r="K920" s="2">
        <f>MONTH(Data[[#This Row],[OrderDate]])</f>
        <v>10</v>
      </c>
    </row>
    <row r="921" spans="1:11" x14ac:dyDescent="0.25">
      <c r="A921">
        <v>1279</v>
      </c>
      <c r="B921">
        <v>477</v>
      </c>
      <c r="C921" s="1">
        <v>45570</v>
      </c>
      <c r="D921">
        <v>180.35</v>
      </c>
      <c r="E921" t="s">
        <v>9</v>
      </c>
      <c r="F921" t="s">
        <v>19</v>
      </c>
      <c r="G921">
        <f>COUNTIF(Data[CustomerID], Data[[#This Row],[CustomerID]])</f>
        <v>2</v>
      </c>
      <c r="H921" s="1" t="str">
        <f>TEXT(Data[OrderDate],"yyyy-mmm")</f>
        <v>2024-Oct</v>
      </c>
      <c r="I921">
        <f>IF(
   COUNTIFS(
      Data[CustomerID], Data[[#This Row],[CustomerID]],
      Data[OrderDate], "&lt;" &amp; EOMONTH(Data[[#This Row],[OrderDate]], -1) + 1
   ) &gt; 0,
   1,
   0
)</f>
        <v>0</v>
      </c>
      <c r="J921">
        <f>YEAR(Data[[#This Row],[OrderDate]])</f>
        <v>2024</v>
      </c>
      <c r="K921" s="2">
        <f>MONTH(Data[[#This Row],[OrderDate]])</f>
        <v>10</v>
      </c>
    </row>
    <row r="922" spans="1:11" x14ac:dyDescent="0.25">
      <c r="A922">
        <v>1308</v>
      </c>
      <c r="B922">
        <v>22</v>
      </c>
      <c r="C922" s="1">
        <v>45571</v>
      </c>
      <c r="D922">
        <v>389.02</v>
      </c>
      <c r="E922" t="s">
        <v>11</v>
      </c>
      <c r="F922" t="s">
        <v>16</v>
      </c>
      <c r="G922">
        <f>COUNTIF(Data[CustomerID], Data[[#This Row],[CustomerID]])</f>
        <v>1</v>
      </c>
      <c r="H922" s="1" t="str">
        <f>TEXT(Data[OrderDate],"yyyy-mmm")</f>
        <v>2024-Oct</v>
      </c>
      <c r="I922">
        <f>IF(
   COUNTIFS(
      Data[CustomerID], Data[[#This Row],[CustomerID]],
      Data[OrderDate], "&lt;" &amp; EOMONTH(Data[[#This Row],[OrderDate]], -1) + 1
   ) &gt; 0,
   1,
   0
)</f>
        <v>0</v>
      </c>
      <c r="J922">
        <f>YEAR(Data[[#This Row],[OrderDate]])</f>
        <v>2024</v>
      </c>
      <c r="K922" s="2">
        <f>MONTH(Data[[#This Row],[OrderDate]])</f>
        <v>10</v>
      </c>
    </row>
    <row r="923" spans="1:11" x14ac:dyDescent="0.25">
      <c r="A923">
        <v>1724</v>
      </c>
      <c r="B923">
        <v>116</v>
      </c>
      <c r="C923" s="1">
        <v>45571</v>
      </c>
      <c r="D923">
        <v>298.49</v>
      </c>
      <c r="E923" t="s">
        <v>9</v>
      </c>
      <c r="F923" t="s">
        <v>19</v>
      </c>
      <c r="G923">
        <f>COUNTIF(Data[CustomerID], Data[[#This Row],[CustomerID]])</f>
        <v>1</v>
      </c>
      <c r="H923" s="1" t="str">
        <f>TEXT(Data[OrderDate],"yyyy-mmm")</f>
        <v>2024-Oct</v>
      </c>
      <c r="I923">
        <f>IF(
   COUNTIFS(
      Data[CustomerID], Data[[#This Row],[CustomerID]],
      Data[OrderDate], "&lt;" &amp; EOMONTH(Data[[#This Row],[OrderDate]], -1) + 1
   ) &gt; 0,
   1,
   0
)</f>
        <v>0</v>
      </c>
      <c r="J923">
        <f>YEAR(Data[[#This Row],[OrderDate]])</f>
        <v>2024</v>
      </c>
      <c r="K923" s="2">
        <f>MONTH(Data[[#This Row],[OrderDate]])</f>
        <v>10</v>
      </c>
    </row>
    <row r="924" spans="1:11" x14ac:dyDescent="0.25">
      <c r="A924">
        <v>1384</v>
      </c>
      <c r="B924">
        <v>239</v>
      </c>
      <c r="C924" s="1">
        <v>45571</v>
      </c>
      <c r="D924">
        <v>475.98</v>
      </c>
      <c r="E924" t="s">
        <v>6</v>
      </c>
      <c r="F924" t="s">
        <v>18</v>
      </c>
      <c r="G924">
        <f>COUNTIF(Data[CustomerID], Data[[#This Row],[CustomerID]])</f>
        <v>2</v>
      </c>
      <c r="H924" s="1" t="str">
        <f>TEXT(Data[OrderDate],"yyyy-mmm")</f>
        <v>2024-Oct</v>
      </c>
      <c r="I924">
        <f>IF(
   COUNTIFS(
      Data[CustomerID], Data[[#This Row],[CustomerID]],
      Data[OrderDate], "&lt;" &amp; EOMONTH(Data[[#This Row],[OrderDate]], -1) + 1
   ) &gt; 0,
   1,
   0
)</f>
        <v>1</v>
      </c>
      <c r="J924">
        <f>YEAR(Data[[#This Row],[OrderDate]])</f>
        <v>2024</v>
      </c>
      <c r="K924" s="2">
        <f>MONTH(Data[[#This Row],[OrderDate]])</f>
        <v>10</v>
      </c>
    </row>
    <row r="925" spans="1:11" x14ac:dyDescent="0.25">
      <c r="A925">
        <v>1555</v>
      </c>
      <c r="B925">
        <v>227</v>
      </c>
      <c r="C925" s="1">
        <v>45572</v>
      </c>
      <c r="D925">
        <v>193.31</v>
      </c>
      <c r="E925" t="s">
        <v>11</v>
      </c>
      <c r="F925" t="s">
        <v>12</v>
      </c>
      <c r="G925">
        <f>COUNTIF(Data[CustomerID], Data[[#This Row],[CustomerID]])</f>
        <v>4</v>
      </c>
      <c r="H925" s="1" t="str">
        <f>TEXT(Data[OrderDate],"yyyy-mmm")</f>
        <v>2024-Oct</v>
      </c>
      <c r="I925">
        <f>IF(
   COUNTIFS(
      Data[CustomerID], Data[[#This Row],[CustomerID]],
      Data[OrderDate], "&lt;" &amp; EOMONTH(Data[[#This Row],[OrderDate]], -1) + 1
   ) &gt; 0,
   1,
   0
)</f>
        <v>1</v>
      </c>
      <c r="J925">
        <f>YEAR(Data[[#This Row],[OrderDate]])</f>
        <v>2024</v>
      </c>
      <c r="K925" s="2">
        <f>MONTH(Data[[#This Row],[OrderDate]])</f>
        <v>10</v>
      </c>
    </row>
    <row r="926" spans="1:11" x14ac:dyDescent="0.25">
      <c r="A926">
        <v>1751</v>
      </c>
      <c r="B926">
        <v>320</v>
      </c>
      <c r="C926" s="1">
        <v>45572</v>
      </c>
      <c r="D926">
        <v>132.16</v>
      </c>
      <c r="E926" t="s">
        <v>8</v>
      </c>
      <c r="F926" t="s">
        <v>18</v>
      </c>
      <c r="G926">
        <f>COUNTIF(Data[CustomerID], Data[[#This Row],[CustomerID]])</f>
        <v>2</v>
      </c>
      <c r="H926" s="1" t="str">
        <f>TEXT(Data[OrderDate],"yyyy-mmm")</f>
        <v>2024-Oct</v>
      </c>
      <c r="I926">
        <f>IF(
   COUNTIFS(
      Data[CustomerID], Data[[#This Row],[CustomerID]],
      Data[OrderDate], "&lt;" &amp; EOMONTH(Data[[#This Row],[OrderDate]], -1) + 1
   ) &gt; 0,
   1,
   0
)</f>
        <v>1</v>
      </c>
      <c r="J926">
        <f>YEAR(Data[[#This Row],[OrderDate]])</f>
        <v>2024</v>
      </c>
      <c r="K926" s="2">
        <f>MONTH(Data[[#This Row],[OrderDate]])</f>
        <v>10</v>
      </c>
    </row>
    <row r="927" spans="1:11" x14ac:dyDescent="0.25">
      <c r="A927">
        <v>1195</v>
      </c>
      <c r="B927">
        <v>581</v>
      </c>
      <c r="C927" s="1">
        <v>45572</v>
      </c>
      <c r="D927">
        <v>277.3</v>
      </c>
      <c r="E927" t="s">
        <v>13</v>
      </c>
      <c r="F927" t="s">
        <v>7</v>
      </c>
      <c r="G927">
        <f>COUNTIF(Data[CustomerID], Data[[#This Row],[CustomerID]])</f>
        <v>2</v>
      </c>
      <c r="H927" s="1" t="str">
        <f>TEXT(Data[OrderDate],"yyyy-mmm")</f>
        <v>2024-Oct</v>
      </c>
      <c r="I927">
        <f>IF(
   COUNTIFS(
      Data[CustomerID], Data[[#This Row],[CustomerID]],
      Data[OrderDate], "&lt;" &amp; EOMONTH(Data[[#This Row],[OrderDate]], -1) + 1
   ) &gt; 0,
   1,
   0
)</f>
        <v>1</v>
      </c>
      <c r="J927">
        <f>YEAR(Data[[#This Row],[OrderDate]])</f>
        <v>2024</v>
      </c>
      <c r="K927" s="2">
        <f>MONTH(Data[[#This Row],[OrderDate]])</f>
        <v>10</v>
      </c>
    </row>
    <row r="928" spans="1:11" x14ac:dyDescent="0.25">
      <c r="A928">
        <v>1658</v>
      </c>
      <c r="B928">
        <v>929</v>
      </c>
      <c r="C928" s="1">
        <v>45572</v>
      </c>
      <c r="D928">
        <v>449.93</v>
      </c>
      <c r="E928" t="s">
        <v>15</v>
      </c>
      <c r="F928" t="s">
        <v>14</v>
      </c>
      <c r="G928">
        <f>COUNTIF(Data[CustomerID], Data[[#This Row],[CustomerID]])</f>
        <v>5</v>
      </c>
      <c r="H928" s="1" t="str">
        <f>TEXT(Data[OrderDate],"yyyy-mmm")</f>
        <v>2024-Oct</v>
      </c>
      <c r="I928">
        <f>IF(
   COUNTIFS(
      Data[CustomerID], Data[[#This Row],[CustomerID]],
      Data[OrderDate], "&lt;" &amp; EOMONTH(Data[[#This Row],[OrderDate]], -1) + 1
   ) &gt; 0,
   1,
   0
)</f>
        <v>1</v>
      </c>
      <c r="J928">
        <f>YEAR(Data[[#This Row],[OrderDate]])</f>
        <v>2024</v>
      </c>
      <c r="K928" s="2">
        <f>MONTH(Data[[#This Row],[OrderDate]])</f>
        <v>10</v>
      </c>
    </row>
    <row r="929" spans="1:11" x14ac:dyDescent="0.25">
      <c r="A929">
        <v>1952</v>
      </c>
      <c r="B929">
        <v>353</v>
      </c>
      <c r="C929" s="1">
        <v>45574</v>
      </c>
      <c r="D929">
        <v>231.15</v>
      </c>
      <c r="E929" t="s">
        <v>13</v>
      </c>
      <c r="F929" t="s">
        <v>10</v>
      </c>
      <c r="G929">
        <f>COUNTIF(Data[CustomerID], Data[[#This Row],[CustomerID]])</f>
        <v>3</v>
      </c>
      <c r="H929" s="1" t="str">
        <f>TEXT(Data[OrderDate],"yyyy-mmm")</f>
        <v>2024-Oct</v>
      </c>
      <c r="I929">
        <f>IF(
   COUNTIFS(
      Data[CustomerID], Data[[#This Row],[CustomerID]],
      Data[OrderDate], "&lt;" &amp; EOMONTH(Data[[#This Row],[OrderDate]], -1) + 1
   ) &gt; 0,
   1,
   0
)</f>
        <v>1</v>
      </c>
      <c r="J929">
        <f>YEAR(Data[[#This Row],[OrderDate]])</f>
        <v>2024</v>
      </c>
      <c r="K929" s="2">
        <f>MONTH(Data[[#This Row],[OrderDate]])</f>
        <v>10</v>
      </c>
    </row>
    <row r="930" spans="1:11" x14ac:dyDescent="0.25">
      <c r="A930">
        <v>1395</v>
      </c>
      <c r="B930">
        <v>807</v>
      </c>
      <c r="C930" s="1">
        <v>45575</v>
      </c>
      <c r="D930">
        <v>436.71</v>
      </c>
      <c r="E930" t="s">
        <v>11</v>
      </c>
      <c r="F930" t="s">
        <v>19</v>
      </c>
      <c r="G930">
        <f>COUNTIF(Data[CustomerID], Data[[#This Row],[CustomerID]])</f>
        <v>2</v>
      </c>
      <c r="H930" s="1" t="str">
        <f>TEXT(Data[OrderDate],"yyyy-mmm")</f>
        <v>2024-Oct</v>
      </c>
      <c r="I930">
        <f>IF(
   COUNTIFS(
      Data[CustomerID], Data[[#This Row],[CustomerID]],
      Data[OrderDate], "&lt;" &amp; EOMONTH(Data[[#This Row],[OrderDate]], -1) + 1
   ) &gt; 0,
   1,
   0
)</f>
        <v>1</v>
      </c>
      <c r="J930">
        <f>YEAR(Data[[#This Row],[OrderDate]])</f>
        <v>2024</v>
      </c>
      <c r="K930" s="2">
        <f>MONTH(Data[[#This Row],[OrderDate]])</f>
        <v>10</v>
      </c>
    </row>
    <row r="931" spans="1:11" x14ac:dyDescent="0.25">
      <c r="A931">
        <v>1974</v>
      </c>
      <c r="B931">
        <v>260</v>
      </c>
      <c r="C931" s="1">
        <v>45576</v>
      </c>
      <c r="D931">
        <v>102.59</v>
      </c>
      <c r="E931" t="s">
        <v>15</v>
      </c>
      <c r="F931" t="s">
        <v>18</v>
      </c>
      <c r="G931">
        <f>COUNTIF(Data[CustomerID], Data[[#This Row],[CustomerID]])</f>
        <v>1</v>
      </c>
      <c r="H931" s="1" t="str">
        <f>TEXT(Data[OrderDate],"yyyy-mmm")</f>
        <v>2024-Oct</v>
      </c>
      <c r="I931">
        <f>IF(
   COUNTIFS(
      Data[CustomerID], Data[[#This Row],[CustomerID]],
      Data[OrderDate], "&lt;" &amp; EOMONTH(Data[[#This Row],[OrderDate]], -1) + 1
   ) &gt; 0,
   1,
   0
)</f>
        <v>0</v>
      </c>
      <c r="J931">
        <f>YEAR(Data[[#This Row],[OrderDate]])</f>
        <v>2024</v>
      </c>
      <c r="K931" s="2">
        <f>MONTH(Data[[#This Row],[OrderDate]])</f>
        <v>10</v>
      </c>
    </row>
    <row r="932" spans="1:11" x14ac:dyDescent="0.25">
      <c r="A932">
        <v>1455</v>
      </c>
      <c r="B932">
        <v>250</v>
      </c>
      <c r="C932" s="1">
        <v>45580</v>
      </c>
      <c r="D932">
        <v>374.7</v>
      </c>
      <c r="E932" t="s">
        <v>8</v>
      </c>
      <c r="F932" t="s">
        <v>10</v>
      </c>
      <c r="G932">
        <f>COUNTIF(Data[CustomerID], Data[[#This Row],[CustomerID]])</f>
        <v>3</v>
      </c>
      <c r="H932" s="1" t="str">
        <f>TEXT(Data[OrderDate],"yyyy-mmm")</f>
        <v>2024-Oct</v>
      </c>
      <c r="I932">
        <f>IF(
   COUNTIFS(
      Data[CustomerID], Data[[#This Row],[CustomerID]],
      Data[OrderDate], "&lt;" &amp; EOMONTH(Data[[#This Row],[OrderDate]], -1) + 1
   ) &gt; 0,
   1,
   0
)</f>
        <v>1</v>
      </c>
      <c r="J932">
        <f>YEAR(Data[[#This Row],[OrderDate]])</f>
        <v>2024</v>
      </c>
      <c r="K932" s="2">
        <f>MONTH(Data[[#This Row],[OrderDate]])</f>
        <v>10</v>
      </c>
    </row>
    <row r="933" spans="1:11" x14ac:dyDescent="0.25">
      <c r="A933">
        <v>1356</v>
      </c>
      <c r="B933">
        <v>667</v>
      </c>
      <c r="C933" s="1">
        <v>45581</v>
      </c>
      <c r="D933">
        <v>257.5</v>
      </c>
      <c r="E933" t="s">
        <v>6</v>
      </c>
      <c r="F933" t="s">
        <v>16</v>
      </c>
      <c r="G933">
        <f>COUNTIF(Data[CustomerID], Data[[#This Row],[CustomerID]])</f>
        <v>1</v>
      </c>
      <c r="H933" s="1" t="str">
        <f>TEXT(Data[OrderDate],"yyyy-mmm")</f>
        <v>2024-Oct</v>
      </c>
      <c r="I933">
        <f>IF(
   COUNTIFS(
      Data[CustomerID], Data[[#This Row],[CustomerID]],
      Data[OrderDate], "&lt;" &amp; EOMONTH(Data[[#This Row],[OrderDate]], -1) + 1
   ) &gt; 0,
   1,
   0
)</f>
        <v>0</v>
      </c>
      <c r="J933">
        <f>YEAR(Data[[#This Row],[OrderDate]])</f>
        <v>2024</v>
      </c>
      <c r="K933" s="2">
        <f>MONTH(Data[[#This Row],[OrderDate]])</f>
        <v>10</v>
      </c>
    </row>
    <row r="934" spans="1:11" x14ac:dyDescent="0.25">
      <c r="A934">
        <v>1501</v>
      </c>
      <c r="B934">
        <v>974</v>
      </c>
      <c r="C934" s="1">
        <v>45583</v>
      </c>
      <c r="D934">
        <v>168.55</v>
      </c>
      <c r="E934" t="s">
        <v>11</v>
      </c>
      <c r="F934" t="s">
        <v>12</v>
      </c>
      <c r="G934">
        <f>COUNTIF(Data[CustomerID], Data[[#This Row],[CustomerID]])</f>
        <v>1</v>
      </c>
      <c r="H934" s="1" t="str">
        <f>TEXT(Data[OrderDate],"yyyy-mmm")</f>
        <v>2024-Oct</v>
      </c>
      <c r="I934">
        <f>IF(
   COUNTIFS(
      Data[CustomerID], Data[[#This Row],[CustomerID]],
      Data[OrderDate], "&lt;" &amp; EOMONTH(Data[[#This Row],[OrderDate]], -1) + 1
   ) &gt; 0,
   1,
   0
)</f>
        <v>0</v>
      </c>
      <c r="J934">
        <f>YEAR(Data[[#This Row],[OrderDate]])</f>
        <v>2024</v>
      </c>
      <c r="K934" s="2">
        <f>MONTH(Data[[#This Row],[OrderDate]])</f>
        <v>10</v>
      </c>
    </row>
    <row r="935" spans="1:11" x14ac:dyDescent="0.25">
      <c r="A935">
        <v>1372</v>
      </c>
      <c r="B935">
        <v>957</v>
      </c>
      <c r="C935" s="1">
        <v>45585</v>
      </c>
      <c r="D935">
        <v>319.37</v>
      </c>
      <c r="E935" t="s">
        <v>13</v>
      </c>
      <c r="F935" t="s">
        <v>19</v>
      </c>
      <c r="G935">
        <f>COUNTIF(Data[CustomerID], Data[[#This Row],[CustomerID]])</f>
        <v>4</v>
      </c>
      <c r="H935" s="1" t="str">
        <f>TEXT(Data[OrderDate],"yyyy-mmm")</f>
        <v>2024-Oct</v>
      </c>
      <c r="I935">
        <f>IF(
   COUNTIFS(
      Data[CustomerID], Data[[#This Row],[CustomerID]],
      Data[OrderDate], "&lt;" &amp; EOMONTH(Data[[#This Row],[OrderDate]], -1) + 1
   ) &gt; 0,
   1,
   0
)</f>
        <v>1</v>
      </c>
      <c r="J935">
        <f>YEAR(Data[[#This Row],[OrderDate]])</f>
        <v>2024</v>
      </c>
      <c r="K935" s="2">
        <f>MONTH(Data[[#This Row],[OrderDate]])</f>
        <v>10</v>
      </c>
    </row>
    <row r="936" spans="1:11" x14ac:dyDescent="0.25">
      <c r="A936">
        <v>1571</v>
      </c>
      <c r="B936">
        <v>366</v>
      </c>
      <c r="C936" s="1">
        <v>45586</v>
      </c>
      <c r="D936">
        <v>89.39</v>
      </c>
      <c r="E936" t="s">
        <v>6</v>
      </c>
      <c r="F936" t="s">
        <v>19</v>
      </c>
      <c r="G936">
        <f>COUNTIF(Data[CustomerID], Data[[#This Row],[CustomerID]])</f>
        <v>2</v>
      </c>
      <c r="H936" s="1" t="str">
        <f>TEXT(Data[OrderDate],"yyyy-mmm")</f>
        <v>2024-Oct</v>
      </c>
      <c r="I936">
        <f>IF(
   COUNTIFS(
      Data[CustomerID], Data[[#This Row],[CustomerID]],
      Data[OrderDate], "&lt;" &amp; EOMONTH(Data[[#This Row],[OrderDate]], -1) + 1
   ) &gt; 0,
   1,
   0
)</f>
        <v>1</v>
      </c>
      <c r="J936">
        <f>YEAR(Data[[#This Row],[OrderDate]])</f>
        <v>2024</v>
      </c>
      <c r="K936" s="2">
        <f>MONTH(Data[[#This Row],[OrderDate]])</f>
        <v>10</v>
      </c>
    </row>
    <row r="937" spans="1:11" x14ac:dyDescent="0.25">
      <c r="A937">
        <v>1368</v>
      </c>
      <c r="B937">
        <v>768</v>
      </c>
      <c r="C937" s="1">
        <v>45586</v>
      </c>
      <c r="D937">
        <v>76.760000000000005</v>
      </c>
      <c r="E937" t="s">
        <v>11</v>
      </c>
      <c r="F937" t="s">
        <v>16</v>
      </c>
      <c r="G937">
        <f>COUNTIF(Data[CustomerID], Data[[#This Row],[CustomerID]])</f>
        <v>2</v>
      </c>
      <c r="H937" s="1" t="str">
        <f>TEXT(Data[OrderDate],"yyyy-mmm")</f>
        <v>2024-Oct</v>
      </c>
      <c r="I937">
        <f>IF(
   COUNTIFS(
      Data[CustomerID], Data[[#This Row],[CustomerID]],
      Data[OrderDate], "&lt;" &amp; EOMONTH(Data[[#This Row],[OrderDate]], -1) + 1
   ) &gt; 0,
   1,
   0
)</f>
        <v>1</v>
      </c>
      <c r="J937">
        <f>YEAR(Data[[#This Row],[OrderDate]])</f>
        <v>2024</v>
      </c>
      <c r="K937" s="2">
        <f>MONTH(Data[[#This Row],[OrderDate]])</f>
        <v>10</v>
      </c>
    </row>
    <row r="938" spans="1:11" x14ac:dyDescent="0.25">
      <c r="A938">
        <v>1895</v>
      </c>
      <c r="B938">
        <v>406</v>
      </c>
      <c r="C938" s="1">
        <v>45587</v>
      </c>
      <c r="D938">
        <v>253.07</v>
      </c>
      <c r="E938" t="s">
        <v>8</v>
      </c>
      <c r="F938" t="s">
        <v>7</v>
      </c>
      <c r="G938">
        <f>COUNTIF(Data[CustomerID], Data[[#This Row],[CustomerID]])</f>
        <v>3</v>
      </c>
      <c r="H938" s="1" t="str">
        <f>TEXT(Data[OrderDate],"yyyy-mmm")</f>
        <v>2024-Oct</v>
      </c>
      <c r="I938">
        <f>IF(
   COUNTIFS(
      Data[CustomerID], Data[[#This Row],[CustomerID]],
      Data[OrderDate], "&lt;" &amp; EOMONTH(Data[[#This Row],[OrderDate]], -1) + 1
   ) &gt; 0,
   1,
   0
)</f>
        <v>1</v>
      </c>
      <c r="J938">
        <f>YEAR(Data[[#This Row],[OrderDate]])</f>
        <v>2024</v>
      </c>
      <c r="K938" s="2">
        <f>MONTH(Data[[#This Row],[OrderDate]])</f>
        <v>10</v>
      </c>
    </row>
    <row r="939" spans="1:11" x14ac:dyDescent="0.25">
      <c r="A939">
        <v>1217</v>
      </c>
      <c r="B939">
        <v>658</v>
      </c>
      <c r="C939" s="1">
        <v>45587</v>
      </c>
      <c r="D939">
        <v>333.21</v>
      </c>
      <c r="E939" t="s">
        <v>9</v>
      </c>
      <c r="F939" t="s">
        <v>12</v>
      </c>
      <c r="G939">
        <f>COUNTIF(Data[CustomerID], Data[[#This Row],[CustomerID]])</f>
        <v>2</v>
      </c>
      <c r="H939" s="1" t="str">
        <f>TEXT(Data[OrderDate],"yyyy-mmm")</f>
        <v>2024-Oct</v>
      </c>
      <c r="I939">
        <f>IF(
   COUNTIFS(
      Data[CustomerID], Data[[#This Row],[CustomerID]],
      Data[OrderDate], "&lt;" &amp; EOMONTH(Data[[#This Row],[OrderDate]], -1) + 1
   ) &gt; 0,
   1,
   0
)</f>
        <v>1</v>
      </c>
      <c r="J939">
        <f>YEAR(Data[[#This Row],[OrderDate]])</f>
        <v>2024</v>
      </c>
      <c r="K939" s="2">
        <f>MONTH(Data[[#This Row],[OrderDate]])</f>
        <v>10</v>
      </c>
    </row>
    <row r="940" spans="1:11" x14ac:dyDescent="0.25">
      <c r="A940">
        <v>1406</v>
      </c>
      <c r="B940">
        <v>204</v>
      </c>
      <c r="C940" s="1">
        <v>45588</v>
      </c>
      <c r="D940">
        <v>304.45</v>
      </c>
      <c r="E940" t="s">
        <v>17</v>
      </c>
      <c r="F940" t="s">
        <v>16</v>
      </c>
      <c r="G940">
        <f>COUNTIF(Data[CustomerID], Data[[#This Row],[CustomerID]])</f>
        <v>2</v>
      </c>
      <c r="H940" s="1" t="str">
        <f>TEXT(Data[OrderDate],"yyyy-mmm")</f>
        <v>2024-Oct</v>
      </c>
      <c r="I940">
        <f>IF(
   COUNTIFS(
      Data[CustomerID], Data[[#This Row],[CustomerID]],
      Data[OrderDate], "&lt;" &amp; EOMONTH(Data[[#This Row],[OrderDate]], -1) + 1
   ) &gt; 0,
   1,
   0
)</f>
        <v>1</v>
      </c>
      <c r="J940">
        <f>YEAR(Data[[#This Row],[OrderDate]])</f>
        <v>2024</v>
      </c>
      <c r="K940" s="2">
        <f>MONTH(Data[[#This Row],[OrderDate]])</f>
        <v>10</v>
      </c>
    </row>
    <row r="941" spans="1:11" x14ac:dyDescent="0.25">
      <c r="A941">
        <v>1021</v>
      </c>
      <c r="B941">
        <v>437</v>
      </c>
      <c r="C941" s="1">
        <v>45588</v>
      </c>
      <c r="D941">
        <v>120.11</v>
      </c>
      <c r="E941" t="s">
        <v>15</v>
      </c>
      <c r="F941" t="s">
        <v>12</v>
      </c>
      <c r="G941">
        <f>COUNTIF(Data[CustomerID], Data[[#This Row],[CustomerID]])</f>
        <v>2</v>
      </c>
      <c r="H941" s="1" t="str">
        <f>TEXT(Data[OrderDate],"yyyy-mmm")</f>
        <v>2024-Oct</v>
      </c>
      <c r="I941">
        <f>IF(
   COUNTIFS(
      Data[CustomerID], Data[[#This Row],[CustomerID]],
      Data[OrderDate], "&lt;" &amp; EOMONTH(Data[[#This Row],[OrderDate]], -1) + 1
   ) &gt; 0,
   1,
   0
)</f>
        <v>0</v>
      </c>
      <c r="J941">
        <f>YEAR(Data[[#This Row],[OrderDate]])</f>
        <v>2024</v>
      </c>
      <c r="K941" s="2">
        <f>MONTH(Data[[#This Row],[OrderDate]])</f>
        <v>10</v>
      </c>
    </row>
    <row r="942" spans="1:11" x14ac:dyDescent="0.25">
      <c r="A942">
        <v>1389</v>
      </c>
      <c r="B942">
        <v>92</v>
      </c>
      <c r="C942" s="1">
        <v>45589</v>
      </c>
      <c r="D942">
        <v>19.55</v>
      </c>
      <c r="E942" t="s">
        <v>17</v>
      </c>
      <c r="F942" t="s">
        <v>12</v>
      </c>
      <c r="G942">
        <f>COUNTIF(Data[CustomerID], Data[[#This Row],[CustomerID]])</f>
        <v>2</v>
      </c>
      <c r="H942" s="1" t="str">
        <f>TEXT(Data[OrderDate],"yyyy-mmm")</f>
        <v>2024-Oct</v>
      </c>
      <c r="I942">
        <f>IF(
   COUNTIFS(
      Data[CustomerID], Data[[#This Row],[CustomerID]],
      Data[OrderDate], "&lt;" &amp; EOMONTH(Data[[#This Row],[OrderDate]], -1) + 1
   ) &gt; 0,
   1,
   0
)</f>
        <v>1</v>
      </c>
      <c r="J942">
        <f>YEAR(Data[[#This Row],[OrderDate]])</f>
        <v>2024</v>
      </c>
      <c r="K942" s="2">
        <f>MONTH(Data[[#This Row],[OrderDate]])</f>
        <v>10</v>
      </c>
    </row>
    <row r="943" spans="1:11" x14ac:dyDescent="0.25">
      <c r="A943">
        <v>1698</v>
      </c>
      <c r="B943">
        <v>214</v>
      </c>
      <c r="C943" s="1">
        <v>45590</v>
      </c>
      <c r="D943">
        <v>463.21</v>
      </c>
      <c r="E943" t="s">
        <v>20</v>
      </c>
      <c r="F943" t="s">
        <v>14</v>
      </c>
      <c r="G943">
        <f>COUNTIF(Data[CustomerID], Data[[#This Row],[CustomerID]])</f>
        <v>3</v>
      </c>
      <c r="H943" s="1" t="str">
        <f>TEXT(Data[OrderDate],"yyyy-mmm")</f>
        <v>2024-Oct</v>
      </c>
      <c r="I943">
        <f>IF(
   COUNTIFS(
      Data[CustomerID], Data[[#This Row],[CustomerID]],
      Data[OrderDate], "&lt;" &amp; EOMONTH(Data[[#This Row],[OrderDate]], -1) + 1
   ) &gt; 0,
   1,
   0
)</f>
        <v>1</v>
      </c>
      <c r="J943">
        <f>YEAR(Data[[#This Row],[OrderDate]])</f>
        <v>2024</v>
      </c>
      <c r="K943" s="2">
        <f>MONTH(Data[[#This Row],[OrderDate]])</f>
        <v>10</v>
      </c>
    </row>
    <row r="944" spans="1:11" x14ac:dyDescent="0.25">
      <c r="A944">
        <v>1639</v>
      </c>
      <c r="B944">
        <v>429</v>
      </c>
      <c r="C944" s="1">
        <v>45590</v>
      </c>
      <c r="D944">
        <v>415.52</v>
      </c>
      <c r="E944" t="s">
        <v>13</v>
      </c>
      <c r="F944" t="s">
        <v>16</v>
      </c>
      <c r="G944">
        <f>COUNTIF(Data[CustomerID], Data[[#This Row],[CustomerID]])</f>
        <v>3</v>
      </c>
      <c r="H944" s="1" t="str">
        <f>TEXT(Data[OrderDate],"yyyy-mmm")</f>
        <v>2024-Oct</v>
      </c>
      <c r="I944">
        <f>IF(
   COUNTIFS(
      Data[CustomerID], Data[[#This Row],[CustomerID]],
      Data[OrderDate], "&lt;" &amp; EOMONTH(Data[[#This Row],[OrderDate]], -1) + 1
   ) &gt; 0,
   1,
   0
)</f>
        <v>1</v>
      </c>
      <c r="J944">
        <f>YEAR(Data[[#This Row],[OrderDate]])</f>
        <v>2024</v>
      </c>
      <c r="K944" s="2">
        <f>MONTH(Data[[#This Row],[OrderDate]])</f>
        <v>10</v>
      </c>
    </row>
    <row r="945" spans="1:11" x14ac:dyDescent="0.25">
      <c r="A945">
        <v>1829</v>
      </c>
      <c r="B945">
        <v>610</v>
      </c>
      <c r="C945" s="1">
        <v>45590</v>
      </c>
      <c r="D945">
        <v>482.74</v>
      </c>
      <c r="E945" t="s">
        <v>9</v>
      </c>
      <c r="F945" t="s">
        <v>10</v>
      </c>
      <c r="G945">
        <f>COUNTIF(Data[CustomerID], Data[[#This Row],[CustomerID]])</f>
        <v>2</v>
      </c>
      <c r="H945" s="1" t="str">
        <f>TEXT(Data[OrderDate],"yyyy-mmm")</f>
        <v>2024-Oct</v>
      </c>
      <c r="I945">
        <f>IF(
   COUNTIFS(
      Data[CustomerID], Data[[#This Row],[CustomerID]],
      Data[OrderDate], "&lt;" &amp; EOMONTH(Data[[#This Row],[OrderDate]], -1) + 1
   ) &gt; 0,
   1,
   0
)</f>
        <v>1</v>
      </c>
      <c r="J945">
        <f>YEAR(Data[[#This Row],[OrderDate]])</f>
        <v>2024</v>
      </c>
      <c r="K945" s="2">
        <f>MONTH(Data[[#This Row],[OrderDate]])</f>
        <v>10</v>
      </c>
    </row>
    <row r="946" spans="1:11" x14ac:dyDescent="0.25">
      <c r="A946">
        <v>1279</v>
      </c>
      <c r="B946">
        <v>312</v>
      </c>
      <c r="C946" s="1">
        <v>45591</v>
      </c>
      <c r="D946">
        <v>435.28</v>
      </c>
      <c r="E946" t="s">
        <v>6</v>
      </c>
      <c r="F946" t="s">
        <v>10</v>
      </c>
      <c r="G946">
        <f>COUNTIF(Data[CustomerID], Data[[#This Row],[CustomerID]])</f>
        <v>2</v>
      </c>
      <c r="H946" s="1" t="str">
        <f>TEXT(Data[OrderDate],"yyyy-mmm")</f>
        <v>2024-Oct</v>
      </c>
      <c r="I946">
        <f>IF(
   COUNTIFS(
      Data[CustomerID], Data[[#This Row],[CustomerID]],
      Data[OrderDate], "&lt;" &amp; EOMONTH(Data[[#This Row],[OrderDate]], -1) + 1
   ) &gt; 0,
   1,
   0
)</f>
        <v>0</v>
      </c>
      <c r="J946">
        <f>YEAR(Data[[#This Row],[OrderDate]])</f>
        <v>2024</v>
      </c>
      <c r="K946" s="2">
        <f>MONTH(Data[[#This Row],[OrderDate]])</f>
        <v>10</v>
      </c>
    </row>
    <row r="947" spans="1:11" x14ac:dyDescent="0.25">
      <c r="A947">
        <v>1760</v>
      </c>
      <c r="B947">
        <v>748</v>
      </c>
      <c r="C947" s="1">
        <v>45591</v>
      </c>
      <c r="D947">
        <v>82.41</v>
      </c>
      <c r="E947" t="s">
        <v>11</v>
      </c>
      <c r="F947" t="s">
        <v>12</v>
      </c>
      <c r="G947">
        <f>COUNTIF(Data[CustomerID], Data[[#This Row],[CustomerID]])</f>
        <v>1</v>
      </c>
      <c r="H947" s="1" t="str">
        <f>TEXT(Data[OrderDate],"yyyy-mmm")</f>
        <v>2024-Oct</v>
      </c>
      <c r="I947">
        <f>IF(
   COUNTIFS(
      Data[CustomerID], Data[[#This Row],[CustomerID]],
      Data[OrderDate], "&lt;" &amp; EOMONTH(Data[[#This Row],[OrderDate]], -1) + 1
   ) &gt; 0,
   1,
   0
)</f>
        <v>0</v>
      </c>
      <c r="J947">
        <f>YEAR(Data[[#This Row],[OrderDate]])</f>
        <v>2024</v>
      </c>
      <c r="K947" s="2">
        <f>MONTH(Data[[#This Row],[OrderDate]])</f>
        <v>10</v>
      </c>
    </row>
    <row r="948" spans="1:11" x14ac:dyDescent="0.25">
      <c r="A948">
        <v>1489</v>
      </c>
      <c r="B948">
        <v>151</v>
      </c>
      <c r="C948" s="1">
        <v>45592</v>
      </c>
      <c r="D948">
        <v>21.92</v>
      </c>
      <c r="E948" t="s">
        <v>9</v>
      </c>
      <c r="F948" t="s">
        <v>19</v>
      </c>
      <c r="G948">
        <f>COUNTIF(Data[CustomerID], Data[[#This Row],[CustomerID]])</f>
        <v>2</v>
      </c>
      <c r="H948" s="1" t="str">
        <f>TEXT(Data[OrderDate],"yyyy-mmm")</f>
        <v>2024-Oct</v>
      </c>
      <c r="I948">
        <f>IF(
   COUNTIFS(
      Data[CustomerID], Data[[#This Row],[CustomerID]],
      Data[OrderDate], "&lt;" &amp; EOMONTH(Data[[#This Row],[OrderDate]], -1) + 1
   ) &gt; 0,
   1,
   0
)</f>
        <v>1</v>
      </c>
      <c r="J948">
        <f>YEAR(Data[[#This Row],[OrderDate]])</f>
        <v>2024</v>
      </c>
      <c r="K948" s="2">
        <f>MONTH(Data[[#This Row],[OrderDate]])</f>
        <v>10</v>
      </c>
    </row>
    <row r="949" spans="1:11" x14ac:dyDescent="0.25">
      <c r="A949">
        <v>1680</v>
      </c>
      <c r="B949">
        <v>414</v>
      </c>
      <c r="C949" s="1">
        <v>45592</v>
      </c>
      <c r="D949">
        <v>109.93</v>
      </c>
      <c r="E949" t="s">
        <v>17</v>
      </c>
      <c r="F949" t="s">
        <v>7</v>
      </c>
      <c r="G949">
        <f>COUNTIF(Data[CustomerID], Data[[#This Row],[CustomerID]])</f>
        <v>1</v>
      </c>
      <c r="H949" s="1" t="str">
        <f>TEXT(Data[OrderDate],"yyyy-mmm")</f>
        <v>2024-Oct</v>
      </c>
      <c r="I949">
        <f>IF(
   COUNTIFS(
      Data[CustomerID], Data[[#This Row],[CustomerID]],
      Data[OrderDate], "&lt;" &amp; EOMONTH(Data[[#This Row],[OrderDate]], -1) + 1
   ) &gt; 0,
   1,
   0
)</f>
        <v>0</v>
      </c>
      <c r="J949">
        <f>YEAR(Data[[#This Row],[OrderDate]])</f>
        <v>2024</v>
      </c>
      <c r="K949" s="2">
        <f>MONTH(Data[[#This Row],[OrderDate]])</f>
        <v>10</v>
      </c>
    </row>
    <row r="950" spans="1:11" x14ac:dyDescent="0.25">
      <c r="A950">
        <v>1749</v>
      </c>
      <c r="B950">
        <v>438</v>
      </c>
      <c r="C950" s="1">
        <v>45592</v>
      </c>
      <c r="D950">
        <v>44.58</v>
      </c>
      <c r="E950" t="s">
        <v>9</v>
      </c>
      <c r="F950" t="s">
        <v>19</v>
      </c>
      <c r="G950">
        <f>COUNTIF(Data[CustomerID], Data[[#This Row],[CustomerID]])</f>
        <v>2</v>
      </c>
      <c r="H950" s="1" t="str">
        <f>TEXT(Data[OrderDate],"yyyy-mmm")</f>
        <v>2024-Oct</v>
      </c>
      <c r="I950">
        <f>IF(
   COUNTIFS(
      Data[CustomerID], Data[[#This Row],[CustomerID]],
      Data[OrderDate], "&lt;" &amp; EOMONTH(Data[[#This Row],[OrderDate]], -1) + 1
   ) &gt; 0,
   1,
   0
)</f>
        <v>1</v>
      </c>
      <c r="J950">
        <f>YEAR(Data[[#This Row],[OrderDate]])</f>
        <v>2024</v>
      </c>
      <c r="K950" s="2">
        <f>MONTH(Data[[#This Row],[OrderDate]])</f>
        <v>10</v>
      </c>
    </row>
    <row r="951" spans="1:11" x14ac:dyDescent="0.25">
      <c r="A951">
        <v>1574</v>
      </c>
      <c r="B951">
        <v>559</v>
      </c>
      <c r="C951" s="1">
        <v>45592</v>
      </c>
      <c r="D951">
        <v>335.34</v>
      </c>
      <c r="E951" t="s">
        <v>17</v>
      </c>
      <c r="F951" t="s">
        <v>16</v>
      </c>
      <c r="G951">
        <f>COUNTIF(Data[CustomerID], Data[[#This Row],[CustomerID]])</f>
        <v>2</v>
      </c>
      <c r="H951" s="1" t="str">
        <f>TEXT(Data[OrderDate],"yyyy-mmm")</f>
        <v>2024-Oct</v>
      </c>
      <c r="I951">
        <f>IF(
   COUNTIFS(
      Data[CustomerID], Data[[#This Row],[CustomerID]],
      Data[OrderDate], "&lt;" &amp; EOMONTH(Data[[#This Row],[OrderDate]], -1) + 1
   ) &gt; 0,
   1,
   0
)</f>
        <v>1</v>
      </c>
      <c r="J951">
        <f>YEAR(Data[[#This Row],[OrderDate]])</f>
        <v>2024</v>
      </c>
      <c r="K951" s="2">
        <f>MONTH(Data[[#This Row],[OrderDate]])</f>
        <v>10</v>
      </c>
    </row>
    <row r="952" spans="1:11" x14ac:dyDescent="0.25">
      <c r="A952">
        <v>1161</v>
      </c>
      <c r="B952">
        <v>102</v>
      </c>
      <c r="C952" s="1">
        <v>45593</v>
      </c>
      <c r="D952">
        <v>235.58</v>
      </c>
      <c r="E952" t="s">
        <v>11</v>
      </c>
      <c r="F952" t="s">
        <v>7</v>
      </c>
      <c r="G952">
        <f>COUNTIF(Data[CustomerID], Data[[#This Row],[CustomerID]])</f>
        <v>1</v>
      </c>
      <c r="H952" s="1" t="str">
        <f>TEXT(Data[OrderDate],"yyyy-mmm")</f>
        <v>2024-Oct</v>
      </c>
      <c r="I952">
        <f>IF(
   COUNTIFS(
      Data[CustomerID], Data[[#This Row],[CustomerID]],
      Data[OrderDate], "&lt;" &amp; EOMONTH(Data[[#This Row],[OrderDate]], -1) + 1
   ) &gt; 0,
   1,
   0
)</f>
        <v>0</v>
      </c>
      <c r="J952">
        <f>YEAR(Data[[#This Row],[OrderDate]])</f>
        <v>2024</v>
      </c>
      <c r="K952" s="2">
        <f>MONTH(Data[[#This Row],[OrderDate]])</f>
        <v>10</v>
      </c>
    </row>
    <row r="953" spans="1:11" x14ac:dyDescent="0.25">
      <c r="A953">
        <v>1364</v>
      </c>
      <c r="B953">
        <v>859</v>
      </c>
      <c r="C953" s="1">
        <v>45593</v>
      </c>
      <c r="D953">
        <v>63.23</v>
      </c>
      <c r="E953" t="s">
        <v>9</v>
      </c>
      <c r="F953" t="s">
        <v>19</v>
      </c>
      <c r="G953">
        <f>COUNTIF(Data[CustomerID], Data[[#This Row],[CustomerID]])</f>
        <v>2</v>
      </c>
      <c r="H953" s="1" t="str">
        <f>TEXT(Data[OrderDate],"yyyy-mmm")</f>
        <v>2024-Oct</v>
      </c>
      <c r="I953">
        <f>IF(
   COUNTIFS(
      Data[CustomerID], Data[[#This Row],[CustomerID]],
      Data[OrderDate], "&lt;" &amp; EOMONTH(Data[[#This Row],[OrderDate]], -1) + 1
   ) &gt; 0,
   1,
   0
)</f>
        <v>1</v>
      </c>
      <c r="J953">
        <f>YEAR(Data[[#This Row],[OrderDate]])</f>
        <v>2024</v>
      </c>
      <c r="K953" s="2">
        <f>MONTH(Data[[#This Row],[OrderDate]])</f>
        <v>10</v>
      </c>
    </row>
    <row r="954" spans="1:11" x14ac:dyDescent="0.25">
      <c r="A954">
        <v>1125</v>
      </c>
      <c r="B954">
        <v>883</v>
      </c>
      <c r="C954" s="1">
        <v>45593</v>
      </c>
      <c r="D954">
        <v>494.09</v>
      </c>
      <c r="E954" t="s">
        <v>13</v>
      </c>
      <c r="F954" t="s">
        <v>18</v>
      </c>
      <c r="G954">
        <f>COUNTIF(Data[CustomerID], Data[[#This Row],[CustomerID]])</f>
        <v>1</v>
      </c>
      <c r="H954" s="1" t="str">
        <f>TEXT(Data[OrderDate],"yyyy-mmm")</f>
        <v>2024-Oct</v>
      </c>
      <c r="I954">
        <f>IF(
   COUNTIFS(
      Data[CustomerID], Data[[#This Row],[CustomerID]],
      Data[OrderDate], "&lt;" &amp; EOMONTH(Data[[#This Row],[OrderDate]], -1) + 1
   ) &gt; 0,
   1,
   0
)</f>
        <v>0</v>
      </c>
      <c r="J954">
        <f>YEAR(Data[[#This Row],[OrderDate]])</f>
        <v>2024</v>
      </c>
      <c r="K954" s="2">
        <f>MONTH(Data[[#This Row],[OrderDate]])</f>
        <v>10</v>
      </c>
    </row>
    <row r="955" spans="1:11" x14ac:dyDescent="0.25">
      <c r="A955">
        <v>1770</v>
      </c>
      <c r="B955">
        <v>329</v>
      </c>
      <c r="C955" s="1">
        <v>45595</v>
      </c>
      <c r="D955">
        <v>363.64</v>
      </c>
      <c r="E955" t="s">
        <v>8</v>
      </c>
      <c r="F955" t="s">
        <v>10</v>
      </c>
      <c r="G955">
        <f>COUNTIF(Data[CustomerID], Data[[#This Row],[CustomerID]])</f>
        <v>1</v>
      </c>
      <c r="H955" s="1" t="str">
        <f>TEXT(Data[OrderDate],"yyyy-mmm")</f>
        <v>2024-Oct</v>
      </c>
      <c r="I955">
        <f>IF(
   COUNTIFS(
      Data[CustomerID], Data[[#This Row],[CustomerID]],
      Data[OrderDate], "&lt;" &amp; EOMONTH(Data[[#This Row],[OrderDate]], -1) + 1
   ) &gt; 0,
   1,
   0
)</f>
        <v>0</v>
      </c>
      <c r="J955">
        <f>YEAR(Data[[#This Row],[OrderDate]])</f>
        <v>2024</v>
      </c>
      <c r="K955" s="2">
        <f>MONTH(Data[[#This Row],[OrderDate]])</f>
        <v>10</v>
      </c>
    </row>
    <row r="956" spans="1:11" x14ac:dyDescent="0.25">
      <c r="A956">
        <v>1815</v>
      </c>
      <c r="B956">
        <v>458</v>
      </c>
      <c r="C956" s="1">
        <v>45596</v>
      </c>
      <c r="D956">
        <v>218.02</v>
      </c>
      <c r="E956" t="s">
        <v>13</v>
      </c>
      <c r="F956" t="s">
        <v>12</v>
      </c>
      <c r="G956">
        <f>COUNTIF(Data[CustomerID], Data[[#This Row],[CustomerID]])</f>
        <v>4</v>
      </c>
      <c r="H956" s="1" t="str">
        <f>TEXT(Data[OrderDate],"yyyy-mmm")</f>
        <v>2024-Oct</v>
      </c>
      <c r="I956">
        <f>IF(
   COUNTIFS(
      Data[CustomerID], Data[[#This Row],[CustomerID]],
      Data[OrderDate], "&lt;" &amp; EOMONTH(Data[[#This Row],[OrderDate]], -1) + 1
   ) &gt; 0,
   1,
   0
)</f>
        <v>1</v>
      </c>
      <c r="J956">
        <f>YEAR(Data[[#This Row],[OrderDate]])</f>
        <v>2024</v>
      </c>
      <c r="K956" s="2">
        <f>MONTH(Data[[#This Row],[OrderDate]])</f>
        <v>10</v>
      </c>
    </row>
    <row r="957" spans="1:11" x14ac:dyDescent="0.25">
      <c r="A957">
        <v>1375</v>
      </c>
      <c r="B957">
        <v>744</v>
      </c>
      <c r="C957" s="1">
        <v>45596</v>
      </c>
      <c r="D957">
        <v>188.75</v>
      </c>
      <c r="E957" t="s">
        <v>20</v>
      </c>
      <c r="F957" t="s">
        <v>10</v>
      </c>
      <c r="G957">
        <f>COUNTIF(Data[CustomerID], Data[[#This Row],[CustomerID]])</f>
        <v>1</v>
      </c>
      <c r="H957" s="1" t="str">
        <f>TEXT(Data[OrderDate],"yyyy-mmm")</f>
        <v>2024-Oct</v>
      </c>
      <c r="I957">
        <f>IF(
   COUNTIFS(
      Data[CustomerID], Data[[#This Row],[CustomerID]],
      Data[OrderDate], "&lt;" &amp; EOMONTH(Data[[#This Row],[OrderDate]], -1) + 1
   ) &gt; 0,
   1,
   0
)</f>
        <v>0</v>
      </c>
      <c r="J957">
        <f>YEAR(Data[[#This Row],[OrderDate]])</f>
        <v>2024</v>
      </c>
      <c r="K957" s="2">
        <f>MONTH(Data[[#This Row],[OrderDate]])</f>
        <v>10</v>
      </c>
    </row>
    <row r="958" spans="1:11" x14ac:dyDescent="0.25">
      <c r="A958">
        <v>1414</v>
      </c>
      <c r="B958">
        <v>872</v>
      </c>
      <c r="C958" s="1">
        <v>45596</v>
      </c>
      <c r="D958">
        <v>51.05</v>
      </c>
      <c r="E958" t="s">
        <v>9</v>
      </c>
      <c r="F958" t="s">
        <v>19</v>
      </c>
      <c r="G958">
        <f>COUNTIF(Data[CustomerID], Data[[#This Row],[CustomerID]])</f>
        <v>3</v>
      </c>
      <c r="H958" s="1" t="str">
        <f>TEXT(Data[OrderDate],"yyyy-mmm")</f>
        <v>2024-Oct</v>
      </c>
      <c r="I958">
        <f>IF(
   COUNTIFS(
      Data[CustomerID], Data[[#This Row],[CustomerID]],
      Data[OrderDate], "&lt;" &amp; EOMONTH(Data[[#This Row],[OrderDate]], -1) + 1
   ) &gt; 0,
   1,
   0
)</f>
        <v>1</v>
      </c>
      <c r="J958">
        <f>YEAR(Data[[#This Row],[OrderDate]])</f>
        <v>2024</v>
      </c>
      <c r="K958" s="2">
        <f>MONTH(Data[[#This Row],[OrderDate]])</f>
        <v>10</v>
      </c>
    </row>
    <row r="959" spans="1:11" x14ac:dyDescent="0.25">
      <c r="A959">
        <v>1957</v>
      </c>
      <c r="B959">
        <v>104</v>
      </c>
      <c r="C959" s="1">
        <v>45598</v>
      </c>
      <c r="D959">
        <v>121.72</v>
      </c>
      <c r="E959" t="s">
        <v>6</v>
      </c>
      <c r="F959" t="s">
        <v>7</v>
      </c>
      <c r="G959">
        <f>COUNTIF(Data[CustomerID], Data[[#This Row],[CustomerID]])</f>
        <v>6</v>
      </c>
      <c r="H959" s="1" t="str">
        <f>TEXT(Data[OrderDate],"yyyy-mmm")</f>
        <v>2024-Nov</v>
      </c>
      <c r="I959">
        <f>IF(
   COUNTIFS(
      Data[CustomerID], Data[[#This Row],[CustomerID]],
      Data[OrderDate], "&lt;" &amp; EOMONTH(Data[[#This Row],[OrderDate]], -1) + 1
   ) &gt; 0,
   1,
   0
)</f>
        <v>1</v>
      </c>
      <c r="J959">
        <f>YEAR(Data[[#This Row],[OrderDate]])</f>
        <v>2024</v>
      </c>
      <c r="K959" s="2">
        <f>MONTH(Data[[#This Row],[OrderDate]])</f>
        <v>11</v>
      </c>
    </row>
    <row r="960" spans="1:11" x14ac:dyDescent="0.25">
      <c r="A960">
        <v>1803</v>
      </c>
      <c r="B960">
        <v>869</v>
      </c>
      <c r="C960" s="1">
        <v>45598</v>
      </c>
      <c r="D960">
        <v>329.79</v>
      </c>
      <c r="E960" t="s">
        <v>8</v>
      </c>
      <c r="F960" t="s">
        <v>19</v>
      </c>
      <c r="G960">
        <f>COUNTIF(Data[CustomerID], Data[[#This Row],[CustomerID]])</f>
        <v>1</v>
      </c>
      <c r="H960" s="1" t="str">
        <f>TEXT(Data[OrderDate],"yyyy-mmm")</f>
        <v>2024-Nov</v>
      </c>
      <c r="I960">
        <f>IF(
   COUNTIFS(
      Data[CustomerID], Data[[#This Row],[CustomerID]],
      Data[OrderDate], "&lt;" &amp; EOMONTH(Data[[#This Row],[OrderDate]], -1) + 1
   ) &gt; 0,
   1,
   0
)</f>
        <v>0</v>
      </c>
      <c r="J960">
        <f>YEAR(Data[[#This Row],[OrderDate]])</f>
        <v>2024</v>
      </c>
      <c r="K960" s="2">
        <f>MONTH(Data[[#This Row],[OrderDate]])</f>
        <v>11</v>
      </c>
    </row>
    <row r="961" spans="1:11" x14ac:dyDescent="0.25">
      <c r="A961">
        <v>1818</v>
      </c>
      <c r="B961">
        <v>256</v>
      </c>
      <c r="C961" s="1">
        <v>45599</v>
      </c>
      <c r="D961">
        <v>40.28</v>
      </c>
      <c r="E961" t="s">
        <v>17</v>
      </c>
      <c r="F961" t="s">
        <v>19</v>
      </c>
      <c r="G961">
        <f>COUNTIF(Data[CustomerID], Data[[#This Row],[CustomerID]])</f>
        <v>2</v>
      </c>
      <c r="H961" s="1" t="str">
        <f>TEXT(Data[OrderDate],"yyyy-mmm")</f>
        <v>2024-Nov</v>
      </c>
      <c r="I961">
        <f>IF(
   COUNTIFS(
      Data[CustomerID], Data[[#This Row],[CustomerID]],
      Data[OrderDate], "&lt;" &amp; EOMONTH(Data[[#This Row],[OrderDate]], -1) + 1
   ) &gt; 0,
   1,
   0
)</f>
        <v>1</v>
      </c>
      <c r="J961">
        <f>YEAR(Data[[#This Row],[OrderDate]])</f>
        <v>2024</v>
      </c>
      <c r="K961" s="2">
        <f>MONTH(Data[[#This Row],[OrderDate]])</f>
        <v>11</v>
      </c>
    </row>
    <row r="962" spans="1:11" x14ac:dyDescent="0.25">
      <c r="A962">
        <v>1784</v>
      </c>
      <c r="B962">
        <v>516</v>
      </c>
      <c r="C962" s="1">
        <v>45599</v>
      </c>
      <c r="D962">
        <v>405.4</v>
      </c>
      <c r="E962" t="s">
        <v>6</v>
      </c>
      <c r="F962" t="s">
        <v>16</v>
      </c>
      <c r="G962">
        <f>COUNTIF(Data[CustomerID], Data[[#This Row],[CustomerID]])</f>
        <v>1</v>
      </c>
      <c r="H962" s="1" t="str">
        <f>TEXT(Data[OrderDate],"yyyy-mmm")</f>
        <v>2024-Nov</v>
      </c>
      <c r="I962">
        <f>IF(
   COUNTIFS(
      Data[CustomerID], Data[[#This Row],[CustomerID]],
      Data[OrderDate], "&lt;" &amp; EOMONTH(Data[[#This Row],[OrderDate]], -1) + 1
   ) &gt; 0,
   1,
   0
)</f>
        <v>0</v>
      </c>
      <c r="J962">
        <f>YEAR(Data[[#This Row],[OrderDate]])</f>
        <v>2024</v>
      </c>
      <c r="K962" s="2">
        <f>MONTH(Data[[#This Row],[OrderDate]])</f>
        <v>11</v>
      </c>
    </row>
    <row r="963" spans="1:11" x14ac:dyDescent="0.25">
      <c r="A963">
        <v>1975</v>
      </c>
      <c r="B963">
        <v>46</v>
      </c>
      <c r="C963" s="1">
        <v>45600</v>
      </c>
      <c r="D963">
        <v>314.52999999999997</v>
      </c>
      <c r="E963" t="s">
        <v>15</v>
      </c>
      <c r="F963" t="s">
        <v>14</v>
      </c>
      <c r="G963">
        <f>COUNTIF(Data[CustomerID], Data[[#This Row],[CustomerID]])</f>
        <v>1</v>
      </c>
      <c r="H963" s="1" t="str">
        <f>TEXT(Data[OrderDate],"yyyy-mmm")</f>
        <v>2024-Nov</v>
      </c>
      <c r="I963">
        <f>IF(
   COUNTIFS(
      Data[CustomerID], Data[[#This Row],[CustomerID]],
      Data[OrderDate], "&lt;" &amp; EOMONTH(Data[[#This Row],[OrderDate]], -1) + 1
   ) &gt; 0,
   1,
   0
)</f>
        <v>0</v>
      </c>
      <c r="J963">
        <f>YEAR(Data[[#This Row],[OrderDate]])</f>
        <v>2024</v>
      </c>
      <c r="K963" s="2">
        <f>MONTH(Data[[#This Row],[OrderDate]])</f>
        <v>11</v>
      </c>
    </row>
    <row r="964" spans="1:11" x14ac:dyDescent="0.25">
      <c r="A964">
        <v>1475</v>
      </c>
      <c r="B964">
        <v>892</v>
      </c>
      <c r="C964" s="1">
        <v>45601</v>
      </c>
      <c r="D964">
        <v>60.91</v>
      </c>
      <c r="E964" t="s">
        <v>13</v>
      </c>
      <c r="F964" t="s">
        <v>12</v>
      </c>
      <c r="G964">
        <f>COUNTIF(Data[CustomerID], Data[[#This Row],[CustomerID]])</f>
        <v>2</v>
      </c>
      <c r="H964" s="1" t="str">
        <f>TEXT(Data[OrderDate],"yyyy-mmm")</f>
        <v>2024-Nov</v>
      </c>
      <c r="I964">
        <f>IF(
   COUNTIFS(
      Data[CustomerID], Data[[#This Row],[CustomerID]],
      Data[OrderDate], "&lt;" &amp; EOMONTH(Data[[#This Row],[OrderDate]], -1) + 1
   ) &gt; 0,
   1,
   0
)</f>
        <v>1</v>
      </c>
      <c r="J964">
        <f>YEAR(Data[[#This Row],[OrderDate]])</f>
        <v>2024</v>
      </c>
      <c r="K964" s="2">
        <f>MONTH(Data[[#This Row],[OrderDate]])</f>
        <v>11</v>
      </c>
    </row>
    <row r="965" spans="1:11" x14ac:dyDescent="0.25">
      <c r="A965">
        <v>1786</v>
      </c>
      <c r="B965">
        <v>602</v>
      </c>
      <c r="C965" s="1">
        <v>45602</v>
      </c>
      <c r="D965">
        <v>163.43</v>
      </c>
      <c r="E965" t="s">
        <v>9</v>
      </c>
      <c r="F965" t="s">
        <v>18</v>
      </c>
      <c r="G965">
        <f>COUNTIF(Data[CustomerID], Data[[#This Row],[CustomerID]])</f>
        <v>2</v>
      </c>
      <c r="H965" s="1" t="str">
        <f>TEXT(Data[OrderDate],"yyyy-mmm")</f>
        <v>2024-Nov</v>
      </c>
      <c r="I965">
        <f>IF(
   COUNTIFS(
      Data[CustomerID], Data[[#This Row],[CustomerID]],
      Data[OrderDate], "&lt;" &amp; EOMONTH(Data[[#This Row],[OrderDate]], -1) + 1
   ) &gt; 0,
   1,
   0
)</f>
        <v>1</v>
      </c>
      <c r="J965">
        <f>YEAR(Data[[#This Row],[OrderDate]])</f>
        <v>2024</v>
      </c>
      <c r="K965" s="2">
        <f>MONTH(Data[[#This Row],[OrderDate]])</f>
        <v>11</v>
      </c>
    </row>
    <row r="966" spans="1:11" x14ac:dyDescent="0.25">
      <c r="A966">
        <v>1885</v>
      </c>
      <c r="B966">
        <v>922</v>
      </c>
      <c r="C966" s="1">
        <v>45602</v>
      </c>
      <c r="D966">
        <v>382.76</v>
      </c>
      <c r="E966" t="s">
        <v>17</v>
      </c>
      <c r="F966" t="s">
        <v>16</v>
      </c>
      <c r="G966">
        <f>COUNTIF(Data[CustomerID], Data[[#This Row],[CustomerID]])</f>
        <v>2</v>
      </c>
      <c r="H966" s="1" t="str">
        <f>TEXT(Data[OrderDate],"yyyy-mmm")</f>
        <v>2024-Nov</v>
      </c>
      <c r="I966">
        <f>IF(
   COUNTIFS(
      Data[CustomerID], Data[[#This Row],[CustomerID]],
      Data[OrderDate], "&lt;" &amp; EOMONTH(Data[[#This Row],[OrderDate]], -1) + 1
   ) &gt; 0,
   1,
   0
)</f>
        <v>1</v>
      </c>
      <c r="J966">
        <f>YEAR(Data[[#This Row],[OrderDate]])</f>
        <v>2024</v>
      </c>
      <c r="K966" s="2">
        <f>MONTH(Data[[#This Row],[OrderDate]])</f>
        <v>11</v>
      </c>
    </row>
    <row r="967" spans="1:11" x14ac:dyDescent="0.25">
      <c r="A967">
        <v>1413</v>
      </c>
      <c r="B967">
        <v>26</v>
      </c>
      <c r="C967" s="1">
        <v>45603</v>
      </c>
      <c r="D967">
        <v>441.85</v>
      </c>
      <c r="E967" t="s">
        <v>8</v>
      </c>
      <c r="F967" t="s">
        <v>19</v>
      </c>
      <c r="G967">
        <f>COUNTIF(Data[CustomerID], Data[[#This Row],[CustomerID]])</f>
        <v>1</v>
      </c>
      <c r="H967" s="1" t="str">
        <f>TEXT(Data[OrderDate],"yyyy-mmm")</f>
        <v>2024-Nov</v>
      </c>
      <c r="I967">
        <f>IF(
   COUNTIFS(
      Data[CustomerID], Data[[#This Row],[CustomerID]],
      Data[OrderDate], "&lt;" &amp; EOMONTH(Data[[#This Row],[OrderDate]], -1) + 1
   ) &gt; 0,
   1,
   0
)</f>
        <v>0</v>
      </c>
      <c r="J967">
        <f>YEAR(Data[[#This Row],[OrderDate]])</f>
        <v>2024</v>
      </c>
      <c r="K967" s="2">
        <f>MONTH(Data[[#This Row],[OrderDate]])</f>
        <v>11</v>
      </c>
    </row>
    <row r="968" spans="1:11" x14ac:dyDescent="0.25">
      <c r="A968">
        <v>1443</v>
      </c>
      <c r="B968">
        <v>572</v>
      </c>
      <c r="C968" s="1">
        <v>45603</v>
      </c>
      <c r="D968">
        <v>460.55</v>
      </c>
      <c r="E968" t="s">
        <v>15</v>
      </c>
      <c r="F968" t="s">
        <v>19</v>
      </c>
      <c r="G968">
        <f>COUNTIF(Data[CustomerID], Data[[#This Row],[CustomerID]])</f>
        <v>1</v>
      </c>
      <c r="H968" s="1" t="str">
        <f>TEXT(Data[OrderDate],"yyyy-mmm")</f>
        <v>2024-Nov</v>
      </c>
      <c r="I968">
        <f>IF(
   COUNTIFS(
      Data[CustomerID], Data[[#This Row],[CustomerID]],
      Data[OrderDate], "&lt;" &amp; EOMONTH(Data[[#This Row],[OrderDate]], -1) + 1
   ) &gt; 0,
   1,
   0
)</f>
        <v>0</v>
      </c>
      <c r="J968">
        <f>YEAR(Data[[#This Row],[OrderDate]])</f>
        <v>2024</v>
      </c>
      <c r="K968" s="2">
        <f>MONTH(Data[[#This Row],[OrderDate]])</f>
        <v>11</v>
      </c>
    </row>
    <row r="969" spans="1:11" x14ac:dyDescent="0.25">
      <c r="A969">
        <v>1036</v>
      </c>
      <c r="B969">
        <v>476</v>
      </c>
      <c r="C969" s="1">
        <v>45604</v>
      </c>
      <c r="D969">
        <v>328.77</v>
      </c>
      <c r="E969" t="s">
        <v>8</v>
      </c>
      <c r="F969" t="s">
        <v>7</v>
      </c>
      <c r="G969">
        <f>COUNTIF(Data[CustomerID], Data[[#This Row],[CustomerID]])</f>
        <v>3</v>
      </c>
      <c r="H969" s="1" t="str">
        <f>TEXT(Data[OrderDate],"yyyy-mmm")</f>
        <v>2024-Nov</v>
      </c>
      <c r="I969">
        <f>IF(
   COUNTIFS(
      Data[CustomerID], Data[[#This Row],[CustomerID]],
      Data[OrderDate], "&lt;" &amp; EOMONTH(Data[[#This Row],[OrderDate]], -1) + 1
   ) &gt; 0,
   1,
   0
)</f>
        <v>1</v>
      </c>
      <c r="J969">
        <f>YEAR(Data[[#This Row],[OrderDate]])</f>
        <v>2024</v>
      </c>
      <c r="K969" s="2">
        <f>MONTH(Data[[#This Row],[OrderDate]])</f>
        <v>11</v>
      </c>
    </row>
    <row r="970" spans="1:11" x14ac:dyDescent="0.25">
      <c r="A970">
        <v>1009</v>
      </c>
      <c r="B970">
        <v>996</v>
      </c>
      <c r="C970" s="1">
        <v>45604</v>
      </c>
      <c r="D970">
        <v>348.75</v>
      </c>
      <c r="E970" t="s">
        <v>8</v>
      </c>
      <c r="F970" t="s">
        <v>16</v>
      </c>
      <c r="G970">
        <f>COUNTIF(Data[CustomerID], Data[[#This Row],[CustomerID]])</f>
        <v>1</v>
      </c>
      <c r="H970" s="1" t="str">
        <f>TEXT(Data[OrderDate],"yyyy-mmm")</f>
        <v>2024-Nov</v>
      </c>
      <c r="I970">
        <f>IF(
   COUNTIFS(
      Data[CustomerID], Data[[#This Row],[CustomerID]],
      Data[OrderDate], "&lt;" &amp; EOMONTH(Data[[#This Row],[OrderDate]], -1) + 1
   ) &gt; 0,
   1,
   0
)</f>
        <v>0</v>
      </c>
      <c r="J970">
        <f>YEAR(Data[[#This Row],[OrderDate]])</f>
        <v>2024</v>
      </c>
      <c r="K970" s="2">
        <f>MONTH(Data[[#This Row],[OrderDate]])</f>
        <v>11</v>
      </c>
    </row>
    <row r="971" spans="1:11" x14ac:dyDescent="0.25">
      <c r="A971">
        <v>1193</v>
      </c>
      <c r="B971">
        <v>851</v>
      </c>
      <c r="C971" s="1">
        <v>45607</v>
      </c>
      <c r="D971">
        <v>21.52</v>
      </c>
      <c r="E971" t="s">
        <v>13</v>
      </c>
      <c r="F971" t="s">
        <v>14</v>
      </c>
      <c r="G971">
        <f>COUNTIF(Data[CustomerID], Data[[#This Row],[CustomerID]])</f>
        <v>1</v>
      </c>
      <c r="H971" s="1" t="str">
        <f>TEXT(Data[OrderDate],"yyyy-mmm")</f>
        <v>2024-Nov</v>
      </c>
      <c r="I971">
        <f>IF(
   COUNTIFS(
      Data[CustomerID], Data[[#This Row],[CustomerID]],
      Data[OrderDate], "&lt;" &amp; EOMONTH(Data[[#This Row],[OrderDate]], -1) + 1
   ) &gt; 0,
   1,
   0
)</f>
        <v>0</v>
      </c>
      <c r="J971">
        <f>YEAR(Data[[#This Row],[OrderDate]])</f>
        <v>2024</v>
      </c>
      <c r="K971" s="2">
        <f>MONTH(Data[[#This Row],[OrderDate]])</f>
        <v>11</v>
      </c>
    </row>
    <row r="972" spans="1:11" x14ac:dyDescent="0.25">
      <c r="A972">
        <v>1726</v>
      </c>
      <c r="B972">
        <v>112</v>
      </c>
      <c r="C972" s="1">
        <v>45608</v>
      </c>
      <c r="D972">
        <v>39.22</v>
      </c>
      <c r="E972" t="s">
        <v>17</v>
      </c>
      <c r="F972" t="s">
        <v>16</v>
      </c>
      <c r="G972">
        <f>COUNTIF(Data[CustomerID], Data[[#This Row],[CustomerID]])</f>
        <v>3</v>
      </c>
      <c r="H972" s="1" t="str">
        <f>TEXT(Data[OrderDate],"yyyy-mmm")</f>
        <v>2024-Nov</v>
      </c>
      <c r="I972">
        <f>IF(
   COUNTIFS(
      Data[CustomerID], Data[[#This Row],[CustomerID]],
      Data[OrderDate], "&lt;" &amp; EOMONTH(Data[[#This Row],[OrderDate]], -1) + 1
   ) &gt; 0,
   1,
   0
)</f>
        <v>1</v>
      </c>
      <c r="J972">
        <f>YEAR(Data[[#This Row],[OrderDate]])</f>
        <v>2024</v>
      </c>
      <c r="K972" s="2">
        <f>MONTH(Data[[#This Row],[OrderDate]])</f>
        <v>11</v>
      </c>
    </row>
    <row r="973" spans="1:11" x14ac:dyDescent="0.25">
      <c r="A973">
        <v>1130</v>
      </c>
      <c r="B973">
        <v>382</v>
      </c>
      <c r="C973" s="1">
        <v>45609</v>
      </c>
      <c r="D973">
        <v>51</v>
      </c>
      <c r="E973" t="s">
        <v>20</v>
      </c>
      <c r="F973" t="s">
        <v>16</v>
      </c>
      <c r="G973">
        <f>COUNTIF(Data[CustomerID], Data[[#This Row],[CustomerID]])</f>
        <v>3</v>
      </c>
      <c r="H973" s="1" t="str">
        <f>TEXT(Data[OrderDate],"yyyy-mmm")</f>
        <v>2024-Nov</v>
      </c>
      <c r="I973">
        <f>IF(
   COUNTIFS(
      Data[CustomerID], Data[[#This Row],[CustomerID]],
      Data[OrderDate], "&lt;" &amp; EOMONTH(Data[[#This Row],[OrderDate]], -1) + 1
   ) &gt; 0,
   1,
   0
)</f>
        <v>1</v>
      </c>
      <c r="J973">
        <f>YEAR(Data[[#This Row],[OrderDate]])</f>
        <v>2024</v>
      </c>
      <c r="K973" s="2">
        <f>MONTH(Data[[#This Row],[OrderDate]])</f>
        <v>11</v>
      </c>
    </row>
    <row r="974" spans="1:11" x14ac:dyDescent="0.25">
      <c r="A974">
        <v>1021</v>
      </c>
      <c r="B974">
        <v>35</v>
      </c>
      <c r="C974" s="1">
        <v>45611</v>
      </c>
      <c r="D974">
        <v>25.39</v>
      </c>
      <c r="E974" t="s">
        <v>13</v>
      </c>
      <c r="F974" t="s">
        <v>12</v>
      </c>
      <c r="G974">
        <f>COUNTIF(Data[CustomerID], Data[[#This Row],[CustomerID]])</f>
        <v>2</v>
      </c>
      <c r="H974" s="1" t="str">
        <f>TEXT(Data[OrderDate],"yyyy-mmm")</f>
        <v>2024-Nov</v>
      </c>
      <c r="I974">
        <f>IF(
   COUNTIFS(
      Data[CustomerID], Data[[#This Row],[CustomerID]],
      Data[OrderDate], "&lt;" &amp; EOMONTH(Data[[#This Row],[OrderDate]], -1) + 1
   ) &gt; 0,
   1,
   0
)</f>
        <v>1</v>
      </c>
      <c r="J974">
        <f>YEAR(Data[[#This Row],[OrderDate]])</f>
        <v>2024</v>
      </c>
      <c r="K974" s="2">
        <f>MONTH(Data[[#This Row],[OrderDate]])</f>
        <v>11</v>
      </c>
    </row>
    <row r="975" spans="1:11" x14ac:dyDescent="0.25">
      <c r="A975">
        <v>1989</v>
      </c>
      <c r="B975">
        <v>358</v>
      </c>
      <c r="C975" s="1">
        <v>45611</v>
      </c>
      <c r="D975">
        <v>497.76</v>
      </c>
      <c r="E975" t="s">
        <v>17</v>
      </c>
      <c r="F975" t="s">
        <v>7</v>
      </c>
      <c r="G975">
        <f>COUNTIF(Data[CustomerID], Data[[#This Row],[CustomerID]])</f>
        <v>1</v>
      </c>
      <c r="H975" s="1" t="str">
        <f>TEXT(Data[OrderDate],"yyyy-mmm")</f>
        <v>2024-Nov</v>
      </c>
      <c r="I975">
        <f>IF(
   COUNTIFS(
      Data[CustomerID], Data[[#This Row],[CustomerID]],
      Data[OrderDate], "&lt;" &amp; EOMONTH(Data[[#This Row],[OrderDate]], -1) + 1
   ) &gt; 0,
   1,
   0
)</f>
        <v>0</v>
      </c>
      <c r="J975">
        <f>YEAR(Data[[#This Row],[OrderDate]])</f>
        <v>2024</v>
      </c>
      <c r="K975" s="2">
        <f>MONTH(Data[[#This Row],[OrderDate]])</f>
        <v>11</v>
      </c>
    </row>
    <row r="976" spans="1:11" x14ac:dyDescent="0.25">
      <c r="A976">
        <v>1349</v>
      </c>
      <c r="B976">
        <v>586</v>
      </c>
      <c r="C976" s="1">
        <v>45611</v>
      </c>
      <c r="D976">
        <v>339.61</v>
      </c>
      <c r="E976" t="s">
        <v>8</v>
      </c>
      <c r="F976" t="s">
        <v>10</v>
      </c>
      <c r="G976">
        <f>COUNTIF(Data[CustomerID], Data[[#This Row],[CustomerID]])</f>
        <v>1</v>
      </c>
      <c r="H976" s="1" t="str">
        <f>TEXT(Data[OrderDate],"yyyy-mmm")</f>
        <v>2024-Nov</v>
      </c>
      <c r="I976">
        <f>IF(
   COUNTIFS(
      Data[CustomerID], Data[[#This Row],[CustomerID]],
      Data[OrderDate], "&lt;" &amp; EOMONTH(Data[[#This Row],[OrderDate]], -1) + 1
   ) &gt; 0,
   1,
   0
)</f>
        <v>0</v>
      </c>
      <c r="J976">
        <f>YEAR(Data[[#This Row],[OrderDate]])</f>
        <v>2024</v>
      </c>
      <c r="K976" s="2">
        <f>MONTH(Data[[#This Row],[OrderDate]])</f>
        <v>11</v>
      </c>
    </row>
    <row r="977" spans="1:11" x14ac:dyDescent="0.25">
      <c r="A977">
        <v>1460</v>
      </c>
      <c r="B977">
        <v>980</v>
      </c>
      <c r="C977" s="1">
        <v>45612</v>
      </c>
      <c r="D977">
        <v>146.22</v>
      </c>
      <c r="E977" t="s">
        <v>9</v>
      </c>
      <c r="F977" t="s">
        <v>10</v>
      </c>
      <c r="G977">
        <f>COUNTIF(Data[CustomerID], Data[[#This Row],[CustomerID]])</f>
        <v>2</v>
      </c>
      <c r="H977" s="1" t="str">
        <f>TEXT(Data[OrderDate],"yyyy-mmm")</f>
        <v>2024-Nov</v>
      </c>
      <c r="I977">
        <f>IF(
   COUNTIFS(
      Data[CustomerID], Data[[#This Row],[CustomerID]],
      Data[OrderDate], "&lt;" &amp; EOMONTH(Data[[#This Row],[OrderDate]], -1) + 1
   ) &gt; 0,
   1,
   0
)</f>
        <v>1</v>
      </c>
      <c r="J977">
        <f>YEAR(Data[[#This Row],[OrderDate]])</f>
        <v>2024</v>
      </c>
      <c r="K977" s="2">
        <f>MONTH(Data[[#This Row],[OrderDate]])</f>
        <v>11</v>
      </c>
    </row>
    <row r="978" spans="1:11" x14ac:dyDescent="0.25">
      <c r="A978">
        <v>1148</v>
      </c>
      <c r="B978">
        <v>920</v>
      </c>
      <c r="C978" s="1">
        <v>45613</v>
      </c>
      <c r="D978">
        <v>183.39</v>
      </c>
      <c r="E978" t="s">
        <v>17</v>
      </c>
      <c r="F978" t="s">
        <v>12</v>
      </c>
      <c r="G978">
        <f>COUNTIF(Data[CustomerID], Data[[#This Row],[CustomerID]])</f>
        <v>1</v>
      </c>
      <c r="H978" s="1" t="str">
        <f>TEXT(Data[OrderDate],"yyyy-mmm")</f>
        <v>2024-Nov</v>
      </c>
      <c r="I978">
        <f>IF(
   COUNTIFS(
      Data[CustomerID], Data[[#This Row],[CustomerID]],
      Data[OrderDate], "&lt;" &amp; EOMONTH(Data[[#This Row],[OrderDate]], -1) + 1
   ) &gt; 0,
   1,
   0
)</f>
        <v>0</v>
      </c>
      <c r="J978">
        <f>YEAR(Data[[#This Row],[OrderDate]])</f>
        <v>2024</v>
      </c>
      <c r="K978" s="2">
        <f>MONTH(Data[[#This Row],[OrderDate]])</f>
        <v>11</v>
      </c>
    </row>
    <row r="979" spans="1:11" x14ac:dyDescent="0.25">
      <c r="A979">
        <v>1952</v>
      </c>
      <c r="B979">
        <v>946</v>
      </c>
      <c r="C979" s="1">
        <v>45613</v>
      </c>
      <c r="D979">
        <v>68.09</v>
      </c>
      <c r="E979" t="s">
        <v>17</v>
      </c>
      <c r="F979" t="s">
        <v>19</v>
      </c>
      <c r="G979">
        <f>COUNTIF(Data[CustomerID], Data[[#This Row],[CustomerID]])</f>
        <v>3</v>
      </c>
      <c r="H979" s="1" t="str">
        <f>TEXT(Data[OrderDate],"yyyy-mmm")</f>
        <v>2024-Nov</v>
      </c>
      <c r="I979">
        <f>IF(
   COUNTIFS(
      Data[CustomerID], Data[[#This Row],[CustomerID]],
      Data[OrderDate], "&lt;" &amp; EOMONTH(Data[[#This Row],[OrderDate]], -1) + 1
   ) &gt; 0,
   1,
   0
)</f>
        <v>1</v>
      </c>
      <c r="J979">
        <f>YEAR(Data[[#This Row],[OrderDate]])</f>
        <v>2024</v>
      </c>
      <c r="K979" s="2">
        <f>MONTH(Data[[#This Row],[OrderDate]])</f>
        <v>11</v>
      </c>
    </row>
    <row r="980" spans="1:11" x14ac:dyDescent="0.25">
      <c r="A980">
        <v>1768</v>
      </c>
      <c r="B980">
        <v>682</v>
      </c>
      <c r="C980" s="1">
        <v>45614</v>
      </c>
      <c r="D980">
        <v>491.07</v>
      </c>
      <c r="E980" t="s">
        <v>9</v>
      </c>
      <c r="F980" t="s">
        <v>16</v>
      </c>
      <c r="G980">
        <f>COUNTIF(Data[CustomerID], Data[[#This Row],[CustomerID]])</f>
        <v>2</v>
      </c>
      <c r="H980" s="1" t="str">
        <f>TEXT(Data[OrderDate],"yyyy-mmm")</f>
        <v>2024-Nov</v>
      </c>
      <c r="I980">
        <f>IF(
   COUNTIFS(
      Data[CustomerID], Data[[#This Row],[CustomerID]],
      Data[OrderDate], "&lt;" &amp; EOMONTH(Data[[#This Row],[OrderDate]], -1) + 1
   ) &gt; 0,
   1,
   0
)</f>
        <v>1</v>
      </c>
      <c r="J980">
        <f>YEAR(Data[[#This Row],[OrderDate]])</f>
        <v>2024</v>
      </c>
      <c r="K980" s="2">
        <f>MONTH(Data[[#This Row],[OrderDate]])</f>
        <v>11</v>
      </c>
    </row>
    <row r="981" spans="1:11" x14ac:dyDescent="0.25">
      <c r="A981">
        <v>1162</v>
      </c>
      <c r="B981">
        <v>827</v>
      </c>
      <c r="C981" s="1">
        <v>45614</v>
      </c>
      <c r="D981">
        <v>228.59</v>
      </c>
      <c r="E981" t="s">
        <v>11</v>
      </c>
      <c r="F981" t="s">
        <v>7</v>
      </c>
      <c r="G981">
        <f>COUNTIF(Data[CustomerID], Data[[#This Row],[CustomerID]])</f>
        <v>2</v>
      </c>
      <c r="H981" s="1" t="str">
        <f>TEXT(Data[OrderDate],"yyyy-mmm")</f>
        <v>2024-Nov</v>
      </c>
      <c r="I981">
        <f>IF(
   COUNTIFS(
      Data[CustomerID], Data[[#This Row],[CustomerID]],
      Data[OrderDate], "&lt;" &amp; EOMONTH(Data[[#This Row],[OrderDate]], -1) + 1
   ) &gt; 0,
   1,
   0
)</f>
        <v>1</v>
      </c>
      <c r="J981">
        <f>YEAR(Data[[#This Row],[OrderDate]])</f>
        <v>2024</v>
      </c>
      <c r="K981" s="2">
        <f>MONTH(Data[[#This Row],[OrderDate]])</f>
        <v>11</v>
      </c>
    </row>
    <row r="982" spans="1:11" x14ac:dyDescent="0.25">
      <c r="A982">
        <v>1214</v>
      </c>
      <c r="B982">
        <v>12</v>
      </c>
      <c r="C982" s="1">
        <v>45615</v>
      </c>
      <c r="D982">
        <v>454.37</v>
      </c>
      <c r="E982" t="s">
        <v>11</v>
      </c>
      <c r="F982" t="s">
        <v>19</v>
      </c>
      <c r="G982">
        <f>COUNTIF(Data[CustomerID], Data[[#This Row],[CustomerID]])</f>
        <v>2</v>
      </c>
      <c r="H982" s="1" t="str">
        <f>TEXT(Data[OrderDate],"yyyy-mmm")</f>
        <v>2024-Nov</v>
      </c>
      <c r="I982">
        <f>IF(
   COUNTIFS(
      Data[CustomerID], Data[[#This Row],[CustomerID]],
      Data[OrderDate], "&lt;" &amp; EOMONTH(Data[[#This Row],[OrderDate]], -1) + 1
   ) &gt; 0,
   1,
   0
)</f>
        <v>1</v>
      </c>
      <c r="J982">
        <f>YEAR(Data[[#This Row],[OrderDate]])</f>
        <v>2024</v>
      </c>
      <c r="K982" s="2">
        <f>MONTH(Data[[#This Row],[OrderDate]])</f>
        <v>11</v>
      </c>
    </row>
    <row r="983" spans="1:11" x14ac:dyDescent="0.25">
      <c r="A983">
        <v>1437</v>
      </c>
      <c r="B983">
        <v>444</v>
      </c>
      <c r="C983" s="1">
        <v>45615</v>
      </c>
      <c r="D983">
        <v>142.49</v>
      </c>
      <c r="E983" t="s">
        <v>17</v>
      </c>
      <c r="F983" t="s">
        <v>19</v>
      </c>
      <c r="G983">
        <f>COUNTIF(Data[CustomerID], Data[[#This Row],[CustomerID]])</f>
        <v>1</v>
      </c>
      <c r="H983" s="1" t="str">
        <f>TEXT(Data[OrderDate],"yyyy-mmm")</f>
        <v>2024-Nov</v>
      </c>
      <c r="I983">
        <f>IF(
   COUNTIFS(
      Data[CustomerID], Data[[#This Row],[CustomerID]],
      Data[OrderDate], "&lt;" &amp; EOMONTH(Data[[#This Row],[OrderDate]], -1) + 1
   ) &gt; 0,
   1,
   0
)</f>
        <v>0</v>
      </c>
      <c r="J983">
        <f>YEAR(Data[[#This Row],[OrderDate]])</f>
        <v>2024</v>
      </c>
      <c r="K983" s="2">
        <f>MONTH(Data[[#This Row],[OrderDate]])</f>
        <v>11</v>
      </c>
    </row>
    <row r="984" spans="1:11" x14ac:dyDescent="0.25">
      <c r="A984">
        <v>1500</v>
      </c>
      <c r="B984">
        <v>739</v>
      </c>
      <c r="C984" s="1">
        <v>45615</v>
      </c>
      <c r="D984">
        <v>22.96</v>
      </c>
      <c r="E984" t="s">
        <v>17</v>
      </c>
      <c r="F984" t="s">
        <v>7</v>
      </c>
      <c r="G984">
        <f>COUNTIF(Data[CustomerID], Data[[#This Row],[CustomerID]])</f>
        <v>1</v>
      </c>
      <c r="H984" s="1" t="str">
        <f>TEXT(Data[OrderDate],"yyyy-mmm")</f>
        <v>2024-Nov</v>
      </c>
      <c r="I984">
        <f>IF(
   COUNTIFS(
      Data[CustomerID], Data[[#This Row],[CustomerID]],
      Data[OrderDate], "&lt;" &amp; EOMONTH(Data[[#This Row],[OrderDate]], -1) + 1
   ) &gt; 0,
   1,
   0
)</f>
        <v>0</v>
      </c>
      <c r="J984">
        <f>YEAR(Data[[#This Row],[OrderDate]])</f>
        <v>2024</v>
      </c>
      <c r="K984" s="2">
        <f>MONTH(Data[[#This Row],[OrderDate]])</f>
        <v>11</v>
      </c>
    </row>
    <row r="985" spans="1:11" x14ac:dyDescent="0.25">
      <c r="A985">
        <v>1396</v>
      </c>
      <c r="B985">
        <v>783</v>
      </c>
      <c r="C985" s="1">
        <v>45615</v>
      </c>
      <c r="D985">
        <v>117.57</v>
      </c>
      <c r="E985" t="s">
        <v>17</v>
      </c>
      <c r="F985" t="s">
        <v>19</v>
      </c>
      <c r="G985">
        <f>COUNTIF(Data[CustomerID], Data[[#This Row],[CustomerID]])</f>
        <v>2</v>
      </c>
      <c r="H985" s="1" t="str">
        <f>TEXT(Data[OrderDate],"yyyy-mmm")</f>
        <v>2024-Nov</v>
      </c>
      <c r="I985">
        <f>IF(
   COUNTIFS(
      Data[CustomerID], Data[[#This Row],[CustomerID]],
      Data[OrderDate], "&lt;" &amp; EOMONTH(Data[[#This Row],[OrderDate]], -1) + 1
   ) &gt; 0,
   1,
   0
)</f>
        <v>1</v>
      </c>
      <c r="J985">
        <f>YEAR(Data[[#This Row],[OrderDate]])</f>
        <v>2024</v>
      </c>
      <c r="K985" s="2">
        <f>MONTH(Data[[#This Row],[OrderDate]])</f>
        <v>11</v>
      </c>
    </row>
    <row r="986" spans="1:11" x14ac:dyDescent="0.25">
      <c r="A986">
        <v>1233</v>
      </c>
      <c r="B986">
        <v>257</v>
      </c>
      <c r="C986" s="1">
        <v>45616</v>
      </c>
      <c r="D986">
        <v>477.56</v>
      </c>
      <c r="E986" t="s">
        <v>15</v>
      </c>
      <c r="F986" t="s">
        <v>10</v>
      </c>
      <c r="G986">
        <f>COUNTIF(Data[CustomerID], Data[[#This Row],[CustomerID]])</f>
        <v>1</v>
      </c>
      <c r="H986" s="1" t="str">
        <f>TEXT(Data[OrderDate],"yyyy-mmm")</f>
        <v>2024-Nov</v>
      </c>
      <c r="I986">
        <f>IF(
   COUNTIFS(
      Data[CustomerID], Data[[#This Row],[CustomerID]],
      Data[OrderDate], "&lt;" &amp; EOMONTH(Data[[#This Row],[OrderDate]], -1) + 1
   ) &gt; 0,
   1,
   0
)</f>
        <v>0</v>
      </c>
      <c r="J986">
        <f>YEAR(Data[[#This Row],[OrderDate]])</f>
        <v>2024</v>
      </c>
      <c r="K986" s="2">
        <f>MONTH(Data[[#This Row],[OrderDate]])</f>
        <v>11</v>
      </c>
    </row>
    <row r="987" spans="1:11" x14ac:dyDescent="0.25">
      <c r="A987">
        <v>1232</v>
      </c>
      <c r="B987">
        <v>790</v>
      </c>
      <c r="C987" s="1">
        <v>45616</v>
      </c>
      <c r="D987">
        <v>424.22</v>
      </c>
      <c r="E987" t="s">
        <v>11</v>
      </c>
      <c r="F987" t="s">
        <v>14</v>
      </c>
      <c r="G987">
        <f>COUNTIF(Data[CustomerID], Data[[#This Row],[CustomerID]])</f>
        <v>4</v>
      </c>
      <c r="H987" s="1" t="str">
        <f>TEXT(Data[OrderDate],"yyyy-mmm")</f>
        <v>2024-Nov</v>
      </c>
      <c r="I987">
        <f>IF(
   COUNTIFS(
      Data[CustomerID], Data[[#This Row],[CustomerID]],
      Data[OrderDate], "&lt;" &amp; EOMONTH(Data[[#This Row],[OrderDate]], -1) + 1
   ) &gt; 0,
   1,
   0
)</f>
        <v>1</v>
      </c>
      <c r="J987">
        <f>YEAR(Data[[#This Row],[OrderDate]])</f>
        <v>2024</v>
      </c>
      <c r="K987" s="2">
        <f>MONTH(Data[[#This Row],[OrderDate]])</f>
        <v>11</v>
      </c>
    </row>
    <row r="988" spans="1:11" x14ac:dyDescent="0.25">
      <c r="A988">
        <v>1202</v>
      </c>
      <c r="B988">
        <v>306</v>
      </c>
      <c r="C988" s="1">
        <v>45617</v>
      </c>
      <c r="D988">
        <v>405.72</v>
      </c>
      <c r="E988" t="s">
        <v>6</v>
      </c>
      <c r="F988" t="s">
        <v>16</v>
      </c>
      <c r="G988">
        <f>COUNTIF(Data[CustomerID], Data[[#This Row],[CustomerID]])</f>
        <v>2</v>
      </c>
      <c r="H988" s="1" t="str">
        <f>TEXT(Data[OrderDate],"yyyy-mmm")</f>
        <v>2024-Nov</v>
      </c>
      <c r="I988">
        <f>IF(
   COUNTIFS(
      Data[CustomerID], Data[[#This Row],[CustomerID]],
      Data[OrderDate], "&lt;" &amp; EOMONTH(Data[[#This Row],[OrderDate]], -1) + 1
   ) &gt; 0,
   1,
   0
)</f>
        <v>1</v>
      </c>
      <c r="J988">
        <f>YEAR(Data[[#This Row],[OrderDate]])</f>
        <v>2024</v>
      </c>
      <c r="K988" s="2">
        <f>MONTH(Data[[#This Row],[OrderDate]])</f>
        <v>11</v>
      </c>
    </row>
    <row r="989" spans="1:11" x14ac:dyDescent="0.25">
      <c r="A989">
        <v>1471</v>
      </c>
      <c r="B989">
        <v>140</v>
      </c>
      <c r="C989" s="1">
        <v>45618</v>
      </c>
      <c r="D989">
        <v>182.83</v>
      </c>
      <c r="E989" t="s">
        <v>20</v>
      </c>
      <c r="F989" t="s">
        <v>19</v>
      </c>
      <c r="G989">
        <f>COUNTIF(Data[CustomerID], Data[[#This Row],[CustomerID]])</f>
        <v>2</v>
      </c>
      <c r="H989" s="1" t="str">
        <f>TEXT(Data[OrderDate],"yyyy-mmm")</f>
        <v>2024-Nov</v>
      </c>
      <c r="I989">
        <f>IF(
   COUNTIFS(
      Data[CustomerID], Data[[#This Row],[CustomerID]],
      Data[OrderDate], "&lt;" &amp; EOMONTH(Data[[#This Row],[OrderDate]], -1) + 1
   ) &gt; 0,
   1,
   0
)</f>
        <v>1</v>
      </c>
      <c r="J989">
        <f>YEAR(Data[[#This Row],[OrderDate]])</f>
        <v>2024</v>
      </c>
      <c r="K989" s="2">
        <f>MONTH(Data[[#This Row],[OrderDate]])</f>
        <v>11</v>
      </c>
    </row>
    <row r="990" spans="1:11" x14ac:dyDescent="0.25">
      <c r="A990">
        <v>1863</v>
      </c>
      <c r="B990">
        <v>196</v>
      </c>
      <c r="C990" s="1">
        <v>45618</v>
      </c>
      <c r="D990">
        <v>459.75</v>
      </c>
      <c r="E990" t="s">
        <v>15</v>
      </c>
      <c r="F990" t="s">
        <v>18</v>
      </c>
      <c r="G990">
        <f>COUNTIF(Data[CustomerID], Data[[#This Row],[CustomerID]])</f>
        <v>2</v>
      </c>
      <c r="H990" s="1" t="str">
        <f>TEXT(Data[OrderDate],"yyyy-mmm")</f>
        <v>2024-Nov</v>
      </c>
      <c r="I990">
        <f>IF(
   COUNTIFS(
      Data[CustomerID], Data[[#This Row],[CustomerID]],
      Data[OrderDate], "&lt;" &amp; EOMONTH(Data[[#This Row],[OrderDate]], -1) + 1
   ) &gt; 0,
   1,
   0
)</f>
        <v>1</v>
      </c>
      <c r="J990">
        <f>YEAR(Data[[#This Row],[OrderDate]])</f>
        <v>2024</v>
      </c>
      <c r="K990" s="2">
        <f>MONTH(Data[[#This Row],[OrderDate]])</f>
        <v>11</v>
      </c>
    </row>
    <row r="991" spans="1:11" x14ac:dyDescent="0.25">
      <c r="A991">
        <v>1369</v>
      </c>
      <c r="B991">
        <v>594</v>
      </c>
      <c r="C991" s="1">
        <v>45619</v>
      </c>
      <c r="D991">
        <v>274.29000000000002</v>
      </c>
      <c r="E991" t="s">
        <v>15</v>
      </c>
      <c r="F991" t="s">
        <v>16</v>
      </c>
      <c r="G991">
        <f>COUNTIF(Data[CustomerID], Data[[#This Row],[CustomerID]])</f>
        <v>1</v>
      </c>
      <c r="H991" s="1" t="str">
        <f>TEXT(Data[OrderDate],"yyyy-mmm")</f>
        <v>2024-Nov</v>
      </c>
      <c r="I991">
        <f>IF(
   COUNTIFS(
      Data[CustomerID], Data[[#This Row],[CustomerID]],
      Data[OrderDate], "&lt;" &amp; EOMONTH(Data[[#This Row],[OrderDate]], -1) + 1
   ) &gt; 0,
   1,
   0
)</f>
        <v>0</v>
      </c>
      <c r="J991">
        <f>YEAR(Data[[#This Row],[OrderDate]])</f>
        <v>2024</v>
      </c>
      <c r="K991" s="2">
        <f>MONTH(Data[[#This Row],[OrderDate]])</f>
        <v>11</v>
      </c>
    </row>
    <row r="992" spans="1:11" x14ac:dyDescent="0.25">
      <c r="A992">
        <v>1421</v>
      </c>
      <c r="B992">
        <v>855</v>
      </c>
      <c r="C992" s="1">
        <v>45619</v>
      </c>
      <c r="D992">
        <v>160.02000000000001</v>
      </c>
      <c r="E992" t="s">
        <v>6</v>
      </c>
      <c r="F992" t="s">
        <v>16</v>
      </c>
      <c r="G992">
        <f>COUNTIF(Data[CustomerID], Data[[#This Row],[CustomerID]])</f>
        <v>2</v>
      </c>
      <c r="H992" s="1" t="str">
        <f>TEXT(Data[OrderDate],"yyyy-mmm")</f>
        <v>2024-Nov</v>
      </c>
      <c r="I992">
        <f>IF(
   COUNTIFS(
      Data[CustomerID], Data[[#This Row],[CustomerID]],
      Data[OrderDate], "&lt;" &amp; EOMONTH(Data[[#This Row],[OrderDate]], -1) + 1
   ) &gt; 0,
   1,
   0
)</f>
        <v>1</v>
      </c>
      <c r="J992">
        <f>YEAR(Data[[#This Row],[OrderDate]])</f>
        <v>2024</v>
      </c>
      <c r="K992" s="2">
        <f>MONTH(Data[[#This Row],[OrderDate]])</f>
        <v>11</v>
      </c>
    </row>
    <row r="993" spans="1:11" x14ac:dyDescent="0.25">
      <c r="A993">
        <v>1557</v>
      </c>
      <c r="B993">
        <v>985</v>
      </c>
      <c r="C993" s="1">
        <v>45619</v>
      </c>
      <c r="D993">
        <v>331.12</v>
      </c>
      <c r="E993" t="s">
        <v>20</v>
      </c>
      <c r="F993" t="s">
        <v>19</v>
      </c>
      <c r="G993">
        <f>COUNTIF(Data[CustomerID], Data[[#This Row],[CustomerID]])</f>
        <v>1</v>
      </c>
      <c r="H993" s="1" t="str">
        <f>TEXT(Data[OrderDate],"yyyy-mmm")</f>
        <v>2024-Nov</v>
      </c>
      <c r="I993">
        <f>IF(
   COUNTIFS(
      Data[CustomerID], Data[[#This Row],[CustomerID]],
      Data[OrderDate], "&lt;" &amp; EOMONTH(Data[[#This Row],[OrderDate]], -1) + 1
   ) &gt; 0,
   1,
   0
)</f>
        <v>0</v>
      </c>
      <c r="J993">
        <f>YEAR(Data[[#This Row],[OrderDate]])</f>
        <v>2024</v>
      </c>
      <c r="K993" s="2">
        <f>MONTH(Data[[#This Row],[OrderDate]])</f>
        <v>11</v>
      </c>
    </row>
    <row r="994" spans="1:11" x14ac:dyDescent="0.25">
      <c r="A994">
        <v>1702</v>
      </c>
      <c r="B994">
        <v>98</v>
      </c>
      <c r="C994" s="1">
        <v>45622</v>
      </c>
      <c r="D994">
        <v>496.11</v>
      </c>
      <c r="E994" t="s">
        <v>20</v>
      </c>
      <c r="F994" t="s">
        <v>7</v>
      </c>
      <c r="G994">
        <f>COUNTIF(Data[CustomerID], Data[[#This Row],[CustomerID]])</f>
        <v>1</v>
      </c>
      <c r="H994" s="1" t="str">
        <f>TEXT(Data[OrderDate],"yyyy-mmm")</f>
        <v>2024-Nov</v>
      </c>
      <c r="I994">
        <f>IF(
   COUNTIFS(
      Data[CustomerID], Data[[#This Row],[CustomerID]],
      Data[OrderDate], "&lt;" &amp; EOMONTH(Data[[#This Row],[OrderDate]], -1) + 1
   ) &gt; 0,
   1,
   0
)</f>
        <v>0</v>
      </c>
      <c r="J994">
        <f>YEAR(Data[[#This Row],[OrderDate]])</f>
        <v>2024</v>
      </c>
      <c r="K994" s="2">
        <f>MONTH(Data[[#This Row],[OrderDate]])</f>
        <v>11</v>
      </c>
    </row>
    <row r="995" spans="1:11" x14ac:dyDescent="0.25">
      <c r="A995">
        <v>1640</v>
      </c>
      <c r="B995">
        <v>350</v>
      </c>
      <c r="C995" s="1">
        <v>45622</v>
      </c>
      <c r="D995">
        <v>298.44</v>
      </c>
      <c r="E995" t="s">
        <v>11</v>
      </c>
      <c r="F995" t="s">
        <v>12</v>
      </c>
      <c r="G995">
        <f>COUNTIF(Data[CustomerID], Data[[#This Row],[CustomerID]])</f>
        <v>2</v>
      </c>
      <c r="H995" s="1" t="str">
        <f>TEXT(Data[OrderDate],"yyyy-mmm")</f>
        <v>2024-Nov</v>
      </c>
      <c r="I995">
        <f>IF(
   COUNTIFS(
      Data[CustomerID], Data[[#This Row],[CustomerID]],
      Data[OrderDate], "&lt;" &amp; EOMONTH(Data[[#This Row],[OrderDate]], -1) + 1
   ) &gt; 0,
   1,
   0
)</f>
        <v>1</v>
      </c>
      <c r="J995">
        <f>YEAR(Data[[#This Row],[OrderDate]])</f>
        <v>2024</v>
      </c>
      <c r="K995" s="2">
        <f>MONTH(Data[[#This Row],[OrderDate]])</f>
        <v>11</v>
      </c>
    </row>
    <row r="996" spans="1:11" x14ac:dyDescent="0.25">
      <c r="A996">
        <v>1604</v>
      </c>
      <c r="B996">
        <v>729</v>
      </c>
      <c r="C996" s="1">
        <v>45623</v>
      </c>
      <c r="D996">
        <v>8.48</v>
      </c>
      <c r="E996" t="s">
        <v>6</v>
      </c>
      <c r="F996" t="s">
        <v>19</v>
      </c>
      <c r="G996">
        <f>COUNTIF(Data[CustomerID], Data[[#This Row],[CustomerID]])</f>
        <v>1</v>
      </c>
      <c r="H996" s="1" t="str">
        <f>TEXT(Data[OrderDate],"yyyy-mmm")</f>
        <v>2024-Nov</v>
      </c>
      <c r="I996">
        <f>IF(
   COUNTIFS(
      Data[CustomerID], Data[[#This Row],[CustomerID]],
      Data[OrderDate], "&lt;" &amp; EOMONTH(Data[[#This Row],[OrderDate]], -1) + 1
   ) &gt; 0,
   1,
   0
)</f>
        <v>0</v>
      </c>
      <c r="J996">
        <f>YEAR(Data[[#This Row],[OrderDate]])</f>
        <v>2024</v>
      </c>
      <c r="K996" s="2">
        <f>MONTH(Data[[#This Row],[OrderDate]])</f>
        <v>11</v>
      </c>
    </row>
    <row r="997" spans="1:11" x14ac:dyDescent="0.25">
      <c r="A997">
        <v>1073</v>
      </c>
      <c r="B997">
        <v>836</v>
      </c>
      <c r="C997" s="1">
        <v>45624</v>
      </c>
      <c r="D997">
        <v>141.84</v>
      </c>
      <c r="E997" t="s">
        <v>8</v>
      </c>
      <c r="F997" t="s">
        <v>18</v>
      </c>
      <c r="G997">
        <f>COUNTIF(Data[CustomerID], Data[[#This Row],[CustomerID]])</f>
        <v>1</v>
      </c>
      <c r="H997" s="1" t="str">
        <f>TEXT(Data[OrderDate],"yyyy-mmm")</f>
        <v>2024-Nov</v>
      </c>
      <c r="I997">
        <f>IF(
   COUNTIFS(
      Data[CustomerID], Data[[#This Row],[CustomerID]],
      Data[OrderDate], "&lt;" &amp; EOMONTH(Data[[#This Row],[OrderDate]], -1) + 1
   ) &gt; 0,
   1,
   0
)</f>
        <v>0</v>
      </c>
      <c r="J997">
        <f>YEAR(Data[[#This Row],[OrderDate]])</f>
        <v>2024</v>
      </c>
      <c r="K997" s="2">
        <f>MONTH(Data[[#This Row],[OrderDate]])</f>
        <v>11</v>
      </c>
    </row>
    <row r="998" spans="1:11" x14ac:dyDescent="0.25">
      <c r="A998">
        <v>1040</v>
      </c>
      <c r="B998">
        <v>153</v>
      </c>
      <c r="C998" s="1">
        <v>45625</v>
      </c>
      <c r="D998">
        <v>65.87</v>
      </c>
      <c r="E998" t="s">
        <v>11</v>
      </c>
      <c r="F998" t="s">
        <v>19</v>
      </c>
      <c r="G998">
        <f>COUNTIF(Data[CustomerID], Data[[#This Row],[CustomerID]])</f>
        <v>3</v>
      </c>
      <c r="H998" s="1" t="str">
        <f>TEXT(Data[OrderDate],"yyyy-mmm")</f>
        <v>2024-Nov</v>
      </c>
      <c r="I998">
        <f>IF(
   COUNTIFS(
      Data[CustomerID], Data[[#This Row],[CustomerID]],
      Data[OrderDate], "&lt;" &amp; EOMONTH(Data[[#This Row],[OrderDate]], -1) + 1
   ) &gt; 0,
   1,
   0
)</f>
        <v>1</v>
      </c>
      <c r="J998">
        <f>YEAR(Data[[#This Row],[OrderDate]])</f>
        <v>2024</v>
      </c>
      <c r="K998" s="2">
        <f>MONTH(Data[[#This Row],[OrderDate]])</f>
        <v>11</v>
      </c>
    </row>
    <row r="999" spans="1:11" x14ac:dyDescent="0.25">
      <c r="A999">
        <v>1476</v>
      </c>
      <c r="B999">
        <v>524</v>
      </c>
      <c r="C999" s="1">
        <v>45626</v>
      </c>
      <c r="D999">
        <v>196.24</v>
      </c>
      <c r="E999" t="s">
        <v>15</v>
      </c>
      <c r="F999" t="s">
        <v>7</v>
      </c>
      <c r="G999">
        <f>COUNTIF(Data[CustomerID], Data[[#This Row],[CustomerID]])</f>
        <v>3</v>
      </c>
      <c r="H999" s="1" t="str">
        <f>TEXT(Data[OrderDate],"yyyy-mmm")</f>
        <v>2024-Nov</v>
      </c>
      <c r="I999">
        <f>IF(
   COUNTIFS(
      Data[CustomerID], Data[[#This Row],[CustomerID]],
      Data[OrderDate], "&lt;" &amp; EOMONTH(Data[[#This Row],[OrderDate]], -1) + 1
   ) &gt; 0,
   1,
   0
)</f>
        <v>1</v>
      </c>
      <c r="J999">
        <f>YEAR(Data[[#This Row],[OrderDate]])</f>
        <v>2024</v>
      </c>
      <c r="K999" s="2">
        <f>MONTH(Data[[#This Row],[OrderDate]])</f>
        <v>11</v>
      </c>
    </row>
    <row r="1000" spans="1:11" x14ac:dyDescent="0.25">
      <c r="A1000">
        <v>1341</v>
      </c>
      <c r="B1000">
        <v>861</v>
      </c>
      <c r="C1000" s="1">
        <v>45626</v>
      </c>
      <c r="D1000">
        <v>163.24</v>
      </c>
      <c r="E1000" t="s">
        <v>9</v>
      </c>
      <c r="F1000" t="s">
        <v>16</v>
      </c>
      <c r="G1000">
        <f>COUNTIF(Data[CustomerID], Data[[#This Row],[CustomerID]])</f>
        <v>3</v>
      </c>
      <c r="H1000" s="1" t="str">
        <f>TEXT(Data[OrderDate],"yyyy-mmm")</f>
        <v>2024-Nov</v>
      </c>
      <c r="I1000">
        <f>IF(
   COUNTIFS(
      Data[CustomerID], Data[[#This Row],[CustomerID]],
      Data[OrderDate], "&lt;" &amp; EOMONTH(Data[[#This Row],[OrderDate]], -1) + 1
   ) &gt; 0,
   1,
   0
)</f>
        <v>1</v>
      </c>
      <c r="J1000">
        <f>YEAR(Data[[#This Row],[OrderDate]])</f>
        <v>2024</v>
      </c>
      <c r="K1000" s="2">
        <f>MONTH(Data[[#This Row],[OrderDate]])</f>
        <v>11</v>
      </c>
    </row>
    <row r="1001" spans="1:11" x14ac:dyDescent="0.25">
      <c r="A1001">
        <v>1637</v>
      </c>
      <c r="B1001">
        <v>889</v>
      </c>
      <c r="C1001" s="1">
        <v>45626</v>
      </c>
      <c r="D1001">
        <v>440.51</v>
      </c>
      <c r="E1001" t="s">
        <v>17</v>
      </c>
      <c r="F1001" t="s">
        <v>10</v>
      </c>
      <c r="G1001">
        <f>COUNTIF(Data[CustomerID], Data[[#This Row],[CustomerID]])</f>
        <v>3</v>
      </c>
      <c r="H1001" s="1" t="str">
        <f>TEXT(Data[OrderDate],"yyyy-mmm")</f>
        <v>2024-Nov</v>
      </c>
      <c r="I1001">
        <f>IF(
   COUNTIFS(
      Data[CustomerID], Data[[#This Row],[CustomerID]],
      Data[OrderDate], "&lt;" &amp; EOMONTH(Data[[#This Row],[OrderDate]], -1) + 1
   ) &gt; 0,
   1,
   0
)</f>
        <v>1</v>
      </c>
      <c r="J1001">
        <f>YEAR(Data[[#This Row],[OrderDate]])</f>
        <v>2024</v>
      </c>
      <c r="K1001" s="2">
        <f>MONTH(Data[[#This Row],[OrderDate]])</f>
        <v>11</v>
      </c>
    </row>
  </sheetData>
  <phoneticPr fontId="2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3"/>
  <sheetViews>
    <sheetView tabSelected="1" topLeftCell="A7" zoomScaleNormal="100" workbookViewId="0">
      <selection activeCell="C71" sqref="C71"/>
    </sheetView>
  </sheetViews>
  <sheetFormatPr defaultRowHeight="15" x14ac:dyDescent="0.25"/>
  <cols>
    <col min="2" max="2" width="27.140625" bestFit="1" customWidth="1"/>
    <col min="3" max="3" width="17.85546875" bestFit="1" customWidth="1"/>
    <col min="5" max="5" width="29" bestFit="1" customWidth="1"/>
    <col min="6" max="7" width="27.140625" bestFit="1" customWidth="1"/>
    <col min="8" max="8" width="21.42578125" bestFit="1" customWidth="1"/>
    <col min="9" max="525" width="16.28515625" bestFit="1" customWidth="1"/>
    <col min="526" max="526" width="11.28515625" bestFit="1" customWidth="1"/>
  </cols>
  <sheetData>
    <row r="1" spans="1:12" x14ac:dyDescent="0.25">
      <c r="A1" s="19"/>
      <c r="B1" s="19"/>
      <c r="C1" s="20" t="s">
        <v>45</v>
      </c>
    </row>
    <row r="2" spans="1:12" ht="15.75" x14ac:dyDescent="0.25">
      <c r="A2" s="19"/>
      <c r="B2" s="32" t="s">
        <v>44</v>
      </c>
      <c r="C2" s="10" t="str">
        <f>B2</f>
        <v>Total Amount</v>
      </c>
      <c r="E2" s="29" t="s">
        <v>33</v>
      </c>
      <c r="F2" s="29"/>
    </row>
    <row r="3" spans="1:12" x14ac:dyDescent="0.25">
      <c r="A3" s="19"/>
      <c r="B3" s="33">
        <v>249596.41999999995</v>
      </c>
      <c r="C3" s="25">
        <f>B3</f>
        <v>249596.41999999995</v>
      </c>
      <c r="E3" s="31" t="s">
        <v>64</v>
      </c>
      <c r="F3" t="s">
        <v>24</v>
      </c>
    </row>
    <row r="4" spans="1:12" x14ac:dyDescent="0.25">
      <c r="A4" s="19"/>
      <c r="B4" s="19"/>
      <c r="C4" s="19"/>
      <c r="E4" s="7" t="s">
        <v>62</v>
      </c>
      <c r="F4" s="2"/>
    </row>
    <row r="5" spans="1:12" x14ac:dyDescent="0.25">
      <c r="C5" s="20" t="s">
        <v>45</v>
      </c>
      <c r="E5" s="27" t="s">
        <v>50</v>
      </c>
      <c r="F5" s="2">
        <v>56</v>
      </c>
      <c r="G5" s="6" t="s">
        <v>31</v>
      </c>
      <c r="H5" s="6" t="s">
        <v>32</v>
      </c>
      <c r="I5" s="6" t="s">
        <v>30</v>
      </c>
      <c r="K5" s="28" t="s">
        <v>66</v>
      </c>
      <c r="L5" s="28" t="s">
        <v>65</v>
      </c>
    </row>
    <row r="6" spans="1:12" x14ac:dyDescent="0.25">
      <c r="B6" s="18" t="s">
        <v>22</v>
      </c>
      <c r="C6" s="10" t="str">
        <f t="shared" ref="C6:C7" si="0">B6</f>
        <v>Total Customers</v>
      </c>
      <c r="E6" s="27" t="s">
        <v>51</v>
      </c>
      <c r="F6" s="2">
        <v>48</v>
      </c>
      <c r="G6">
        <f t="shared" ref="G6:G28" ca="1" si="1">OFFSET(F6,-1, 0)</f>
        <v>56</v>
      </c>
      <c r="H6">
        <f ca="1">G6-F6</f>
        <v>8</v>
      </c>
      <c r="I6" s="8">
        <f ca="1">H6/G6</f>
        <v>0.14285714285714285</v>
      </c>
      <c r="K6" s="1" t="str">
        <f>"2023-"&amp;E5</f>
        <v>2023-Jan</v>
      </c>
      <c r="L6" s="8"/>
    </row>
    <row r="7" spans="1:12" x14ac:dyDescent="0.25">
      <c r="B7" s="4">
        <f>COUNTA(AzeriMed_Sales_Data_1000_origin!M2:M616)</f>
        <v>615</v>
      </c>
      <c r="C7" s="10">
        <f t="shared" si="0"/>
        <v>615</v>
      </c>
      <c r="E7" s="27" t="s">
        <v>52</v>
      </c>
      <c r="F7" s="2">
        <v>44</v>
      </c>
      <c r="G7">
        <f t="shared" ca="1" si="1"/>
        <v>48</v>
      </c>
      <c r="H7">
        <f t="shared" ref="H7:H28" ca="1" si="2">G7-F7</f>
        <v>4</v>
      </c>
      <c r="I7" s="8">
        <f t="shared" ref="I7:I28" ca="1" si="3">H7/G7</f>
        <v>8.3333333333333329E-2</v>
      </c>
      <c r="K7" s="1" t="str">
        <f t="shared" ref="K7:K17" si="4">"2023-"&amp;E6</f>
        <v>2023-Feb</v>
      </c>
      <c r="L7" s="8">
        <f t="shared" ref="L7:L17" ca="1" si="5">I6</f>
        <v>0.14285714285714285</v>
      </c>
    </row>
    <row r="8" spans="1:12" x14ac:dyDescent="0.25">
      <c r="E8" s="27" t="s">
        <v>53</v>
      </c>
      <c r="F8" s="2">
        <v>46</v>
      </c>
      <c r="G8">
        <f t="shared" ca="1" si="1"/>
        <v>44</v>
      </c>
      <c r="H8">
        <f t="shared" ca="1" si="2"/>
        <v>-2</v>
      </c>
      <c r="I8" s="8">
        <f t="shared" ca="1" si="3"/>
        <v>-4.5454545454545456E-2</v>
      </c>
      <c r="K8" s="1" t="str">
        <f t="shared" si="4"/>
        <v>2023-Mar</v>
      </c>
      <c r="L8" s="8">
        <f t="shared" ca="1" si="5"/>
        <v>8.3333333333333329E-2</v>
      </c>
    </row>
    <row r="9" spans="1:12" ht="15.75" x14ac:dyDescent="0.25">
      <c r="B9" s="29" t="s">
        <v>34</v>
      </c>
      <c r="C9" s="29"/>
      <c r="E9" s="27" t="s">
        <v>54</v>
      </c>
      <c r="F9" s="2">
        <v>45</v>
      </c>
      <c r="G9">
        <f t="shared" ca="1" si="1"/>
        <v>46</v>
      </c>
      <c r="H9">
        <f t="shared" ca="1" si="2"/>
        <v>1</v>
      </c>
      <c r="I9" s="8">
        <f t="shared" ca="1" si="3"/>
        <v>2.1739130434782608E-2</v>
      </c>
      <c r="K9" s="1" t="str">
        <f t="shared" si="4"/>
        <v>2023-Apr</v>
      </c>
      <c r="L9" s="8">
        <f t="shared" ca="1" si="5"/>
        <v>-4.5454545454545456E-2</v>
      </c>
    </row>
    <row r="10" spans="1:12" x14ac:dyDescent="0.25">
      <c r="B10" s="3" t="s">
        <v>23</v>
      </c>
      <c r="C10" t="s" vm="1">
        <v>25</v>
      </c>
      <c r="E10" s="27" t="s">
        <v>55</v>
      </c>
      <c r="F10" s="2">
        <v>39</v>
      </c>
      <c r="G10">
        <f t="shared" ca="1" si="1"/>
        <v>45</v>
      </c>
      <c r="H10">
        <f t="shared" ca="1" si="2"/>
        <v>6</v>
      </c>
      <c r="I10" s="8">
        <f t="shared" ca="1" si="3"/>
        <v>0.13333333333333333</v>
      </c>
      <c r="K10" s="1" t="str">
        <f t="shared" si="4"/>
        <v>2023-May</v>
      </c>
      <c r="L10" s="8">
        <f t="shared" ca="1" si="5"/>
        <v>2.1739130434782608E-2</v>
      </c>
    </row>
    <row r="11" spans="1:12" x14ac:dyDescent="0.25">
      <c r="B11" s="18" t="s">
        <v>26</v>
      </c>
      <c r="E11" s="27" t="s">
        <v>56</v>
      </c>
      <c r="F11" s="2">
        <v>34</v>
      </c>
      <c r="G11">
        <f t="shared" ca="1" si="1"/>
        <v>39</v>
      </c>
      <c r="H11">
        <f t="shared" ca="1" si="2"/>
        <v>5</v>
      </c>
      <c r="I11" s="8">
        <f t="shared" ca="1" si="3"/>
        <v>0.12820512820512819</v>
      </c>
      <c r="K11" s="1" t="str">
        <f t="shared" si="4"/>
        <v>2023-Jun</v>
      </c>
      <c r="L11" s="8">
        <f t="shared" ca="1" si="5"/>
        <v>0.13333333333333333</v>
      </c>
    </row>
    <row r="12" spans="1:12" x14ac:dyDescent="0.25">
      <c r="B12" t="s">
        <v>24</v>
      </c>
      <c r="E12" s="27" t="s">
        <v>57</v>
      </c>
      <c r="F12" s="2">
        <v>52</v>
      </c>
      <c r="G12">
        <f t="shared" ca="1" si="1"/>
        <v>34</v>
      </c>
      <c r="H12">
        <f t="shared" ca="1" si="2"/>
        <v>-18</v>
      </c>
      <c r="I12" s="8">
        <f t="shared" ca="1" si="3"/>
        <v>-0.52941176470588236</v>
      </c>
      <c r="K12" s="1" t="str">
        <f t="shared" si="4"/>
        <v>2023-Jul</v>
      </c>
      <c r="L12" s="8">
        <f t="shared" ca="1" si="5"/>
        <v>0.12820512820512819</v>
      </c>
    </row>
    <row r="13" spans="1:12" x14ac:dyDescent="0.25">
      <c r="B13" s="11">
        <v>273</v>
      </c>
      <c r="E13" s="27" t="s">
        <v>58</v>
      </c>
      <c r="F13" s="2">
        <v>37</v>
      </c>
      <c r="G13">
        <f t="shared" ca="1" si="1"/>
        <v>52</v>
      </c>
      <c r="H13">
        <f t="shared" ca="1" si="2"/>
        <v>15</v>
      </c>
      <c r="I13" s="8">
        <f t="shared" ca="1" si="3"/>
        <v>0.28846153846153844</v>
      </c>
      <c r="K13" s="1" t="str">
        <f t="shared" si="4"/>
        <v>2023-Aug</v>
      </c>
      <c r="L13" s="8">
        <f t="shared" ca="1" si="5"/>
        <v>-0.52941176470588236</v>
      </c>
    </row>
    <row r="14" spans="1:12" x14ac:dyDescent="0.25">
      <c r="C14" s="20" t="s">
        <v>45</v>
      </c>
      <c r="E14" s="27" t="s">
        <v>59</v>
      </c>
      <c r="F14" s="2">
        <v>45</v>
      </c>
      <c r="G14">
        <f t="shared" ca="1" si="1"/>
        <v>37</v>
      </c>
      <c r="H14">
        <f t="shared" ca="1" si="2"/>
        <v>-8</v>
      </c>
      <c r="I14" s="8">
        <f t="shared" ca="1" si="3"/>
        <v>-0.21621621621621623</v>
      </c>
      <c r="K14" s="1" t="str">
        <f t="shared" si="4"/>
        <v>2023-Sep</v>
      </c>
      <c r="L14" s="8">
        <f t="shared" ca="1" si="5"/>
        <v>0.28846153846153844</v>
      </c>
    </row>
    <row r="15" spans="1:12" x14ac:dyDescent="0.25">
      <c r="B15" s="18" t="s">
        <v>27</v>
      </c>
      <c r="C15" s="13" t="str">
        <f t="shared" ref="C15:C16" si="6">B15</f>
        <v>Repeat Rate</v>
      </c>
      <c r="E15" s="27" t="s">
        <v>60</v>
      </c>
      <c r="F15" s="2">
        <v>46</v>
      </c>
      <c r="G15">
        <f t="shared" ca="1" si="1"/>
        <v>45</v>
      </c>
      <c r="H15">
        <f t="shared" ca="1" si="2"/>
        <v>-1</v>
      </c>
      <c r="I15" s="8">
        <f t="shared" ca="1" si="3"/>
        <v>-2.2222222222222223E-2</v>
      </c>
      <c r="K15" s="1" t="str">
        <f t="shared" si="4"/>
        <v>2023-Oct</v>
      </c>
      <c r="L15" s="8">
        <f t="shared" ca="1" si="5"/>
        <v>-0.21621621621621623</v>
      </c>
    </row>
    <row r="16" spans="1:12" x14ac:dyDescent="0.25">
      <c r="B16" s="5">
        <f>B13/B7</f>
        <v>0.44390243902439025</v>
      </c>
      <c r="C16" s="15">
        <f t="shared" si="6"/>
        <v>0.44390243902439025</v>
      </c>
      <c r="E16" s="27" t="s">
        <v>61</v>
      </c>
      <c r="F16" s="2">
        <v>49</v>
      </c>
      <c r="G16">
        <f t="shared" ca="1" si="1"/>
        <v>46</v>
      </c>
      <c r="H16">
        <f t="shared" ca="1" si="2"/>
        <v>-3</v>
      </c>
      <c r="I16" s="8">
        <f t="shared" ca="1" si="3"/>
        <v>-6.5217391304347824E-2</v>
      </c>
      <c r="K16" s="1" t="str">
        <f t="shared" si="4"/>
        <v>2023-Nov</v>
      </c>
      <c r="L16" s="8">
        <f t="shared" ca="1" si="5"/>
        <v>-2.2222222222222223E-2</v>
      </c>
    </row>
    <row r="17" spans="5:12" x14ac:dyDescent="0.25">
      <c r="E17" s="7" t="s">
        <v>63</v>
      </c>
      <c r="F17" s="2"/>
      <c r="I17" s="8"/>
      <c r="K17" s="1" t="str">
        <f t="shared" si="4"/>
        <v>2023-Dec</v>
      </c>
      <c r="L17" s="8">
        <f t="shared" ca="1" si="5"/>
        <v>-6.5217391304347824E-2</v>
      </c>
    </row>
    <row r="18" spans="5:12" x14ac:dyDescent="0.25">
      <c r="E18" s="27" t="s">
        <v>50</v>
      </c>
      <c r="F18" s="2">
        <v>38</v>
      </c>
      <c r="I18" s="8"/>
      <c r="K18" s="1"/>
      <c r="L18" s="8"/>
    </row>
    <row r="19" spans="5:12" x14ac:dyDescent="0.25">
      <c r="E19" s="27" t="s">
        <v>51</v>
      </c>
      <c r="F19" s="2">
        <v>35</v>
      </c>
      <c r="G19">
        <f t="shared" ca="1" si="1"/>
        <v>38</v>
      </c>
      <c r="H19">
        <f t="shared" ca="1" si="2"/>
        <v>3</v>
      </c>
      <c r="I19" s="8">
        <f t="shared" ca="1" si="3"/>
        <v>7.8947368421052627E-2</v>
      </c>
      <c r="K19" s="1" t="str">
        <f>"2024-"&amp;E18</f>
        <v>2024-Jan</v>
      </c>
      <c r="L19" s="8"/>
    </row>
    <row r="20" spans="5:12" x14ac:dyDescent="0.25">
      <c r="E20" s="27" t="s">
        <v>52</v>
      </c>
      <c r="F20" s="2">
        <v>41</v>
      </c>
      <c r="G20">
        <f t="shared" ca="1" si="1"/>
        <v>35</v>
      </c>
      <c r="H20">
        <f t="shared" ca="1" si="2"/>
        <v>-6</v>
      </c>
      <c r="I20" s="8">
        <f t="shared" ca="1" si="3"/>
        <v>-0.17142857142857143</v>
      </c>
      <c r="K20" s="1" t="str">
        <f t="shared" ref="K20:K29" si="7">"2024-"&amp;E19</f>
        <v>2024-Feb</v>
      </c>
      <c r="L20" s="8">
        <f t="shared" ref="L20:L29" ca="1" si="8">I19</f>
        <v>7.8947368421052627E-2</v>
      </c>
    </row>
    <row r="21" spans="5:12" x14ac:dyDescent="0.25">
      <c r="E21" s="27" t="s">
        <v>53</v>
      </c>
      <c r="F21" s="2">
        <v>38</v>
      </c>
      <c r="G21">
        <f t="shared" ca="1" si="1"/>
        <v>41</v>
      </c>
      <c r="H21">
        <f t="shared" ca="1" si="2"/>
        <v>3</v>
      </c>
      <c r="I21" s="8">
        <f t="shared" ca="1" si="3"/>
        <v>7.3170731707317069E-2</v>
      </c>
      <c r="K21" s="1" t="str">
        <f t="shared" si="7"/>
        <v>2024-Mar</v>
      </c>
      <c r="L21" s="8">
        <f t="shared" ca="1" si="8"/>
        <v>-0.17142857142857143</v>
      </c>
    </row>
    <row r="22" spans="5:12" x14ac:dyDescent="0.25">
      <c r="E22" s="27" t="s">
        <v>54</v>
      </c>
      <c r="F22" s="2">
        <v>43</v>
      </c>
      <c r="G22">
        <f t="shared" ca="1" si="1"/>
        <v>38</v>
      </c>
      <c r="H22">
        <f t="shared" ca="1" si="2"/>
        <v>-5</v>
      </c>
      <c r="I22" s="8">
        <f t="shared" ca="1" si="3"/>
        <v>-0.13157894736842105</v>
      </c>
      <c r="K22" s="1" t="str">
        <f t="shared" si="7"/>
        <v>2024-Apr</v>
      </c>
      <c r="L22" s="8">
        <f t="shared" ca="1" si="8"/>
        <v>7.3170731707317069E-2</v>
      </c>
    </row>
    <row r="23" spans="5:12" x14ac:dyDescent="0.25">
      <c r="E23" s="27" t="s">
        <v>55</v>
      </c>
      <c r="F23" s="2">
        <v>47</v>
      </c>
      <c r="G23">
        <f t="shared" ca="1" si="1"/>
        <v>43</v>
      </c>
      <c r="H23">
        <f t="shared" ca="1" si="2"/>
        <v>-4</v>
      </c>
      <c r="I23" s="8">
        <f t="shared" ca="1" si="3"/>
        <v>-9.3023255813953487E-2</v>
      </c>
      <c r="K23" s="1" t="str">
        <f t="shared" si="7"/>
        <v>2024-May</v>
      </c>
      <c r="L23" s="8">
        <f t="shared" ca="1" si="8"/>
        <v>-0.13157894736842105</v>
      </c>
    </row>
    <row r="24" spans="5:12" x14ac:dyDescent="0.25">
      <c r="E24" s="27" t="s">
        <v>56</v>
      </c>
      <c r="F24" s="2">
        <v>42</v>
      </c>
      <c r="G24">
        <f t="shared" ca="1" si="1"/>
        <v>47</v>
      </c>
      <c r="H24">
        <f t="shared" ca="1" si="2"/>
        <v>5</v>
      </c>
      <c r="I24" s="8">
        <f t="shared" ca="1" si="3"/>
        <v>0.10638297872340426</v>
      </c>
      <c r="K24" s="1" t="str">
        <f t="shared" si="7"/>
        <v>2024-Jun</v>
      </c>
      <c r="L24" s="8">
        <f t="shared" ca="1" si="8"/>
        <v>-9.3023255813953487E-2</v>
      </c>
    </row>
    <row r="25" spans="5:12" x14ac:dyDescent="0.25">
      <c r="E25" s="27" t="s">
        <v>57</v>
      </c>
      <c r="F25" s="2">
        <v>35</v>
      </c>
      <c r="G25">
        <f t="shared" ca="1" si="1"/>
        <v>42</v>
      </c>
      <c r="H25">
        <f t="shared" ca="1" si="2"/>
        <v>7</v>
      </c>
      <c r="I25" s="8">
        <f t="shared" ca="1" si="3"/>
        <v>0.16666666666666666</v>
      </c>
      <c r="K25" s="1" t="str">
        <f t="shared" si="7"/>
        <v>2024-Jul</v>
      </c>
      <c r="L25" s="8">
        <f t="shared" ca="1" si="8"/>
        <v>0.10638297872340426</v>
      </c>
    </row>
    <row r="26" spans="5:12" x14ac:dyDescent="0.25">
      <c r="E26" s="27" t="s">
        <v>58</v>
      </c>
      <c r="F26" s="2">
        <v>38</v>
      </c>
      <c r="G26">
        <f t="shared" ca="1" si="1"/>
        <v>35</v>
      </c>
      <c r="H26">
        <f t="shared" ca="1" si="2"/>
        <v>-3</v>
      </c>
      <c r="I26" s="8">
        <f t="shared" ca="1" si="3"/>
        <v>-8.5714285714285715E-2</v>
      </c>
      <c r="K26" s="1" t="str">
        <f t="shared" si="7"/>
        <v>2024-Aug</v>
      </c>
      <c r="L26" s="8">
        <f t="shared" ca="1" si="8"/>
        <v>0.16666666666666666</v>
      </c>
    </row>
    <row r="27" spans="5:12" x14ac:dyDescent="0.25">
      <c r="E27" s="27" t="s">
        <v>59</v>
      </c>
      <c r="F27" s="2">
        <v>41</v>
      </c>
      <c r="G27">
        <f t="shared" ca="1" si="1"/>
        <v>38</v>
      </c>
      <c r="H27">
        <f t="shared" ca="1" si="2"/>
        <v>-3</v>
      </c>
      <c r="I27" s="8">
        <f t="shared" ca="1" si="3"/>
        <v>-7.8947368421052627E-2</v>
      </c>
      <c r="K27" s="1" t="str">
        <f t="shared" si="7"/>
        <v>2024-Sep</v>
      </c>
      <c r="L27" s="8">
        <f t="shared" ca="1" si="8"/>
        <v>-8.5714285714285715E-2</v>
      </c>
    </row>
    <row r="28" spans="5:12" x14ac:dyDescent="0.25">
      <c r="E28" s="27" t="s">
        <v>60</v>
      </c>
      <c r="F28" s="2">
        <v>43</v>
      </c>
      <c r="G28">
        <f t="shared" ca="1" si="1"/>
        <v>41</v>
      </c>
      <c r="H28">
        <f t="shared" ca="1" si="2"/>
        <v>-2</v>
      </c>
      <c r="I28" s="8">
        <f t="shared" ca="1" si="3"/>
        <v>-4.878048780487805E-2</v>
      </c>
      <c r="K28" s="1" t="str">
        <f t="shared" si="7"/>
        <v>2024-Oct</v>
      </c>
      <c r="L28" s="8">
        <f t="shared" ca="1" si="8"/>
        <v>-7.8947368421052627E-2</v>
      </c>
    </row>
    <row r="29" spans="5:12" x14ac:dyDescent="0.25">
      <c r="E29" s="7" t="s">
        <v>28</v>
      </c>
      <c r="F29" s="2">
        <v>615</v>
      </c>
      <c r="K29" s="1" t="str">
        <f t="shared" si="7"/>
        <v>2024-Nov</v>
      </c>
      <c r="L29" s="8">
        <f t="shared" ca="1" si="8"/>
        <v>-4.878048780487805E-2</v>
      </c>
    </row>
    <row r="32" spans="5:12" ht="15.75" x14ac:dyDescent="0.25">
      <c r="E32" s="30" t="s">
        <v>67</v>
      </c>
      <c r="F32" s="30"/>
      <c r="G32" s="30"/>
    </row>
    <row r="33" spans="5:12" x14ac:dyDescent="0.25">
      <c r="E33" s="31" t="s">
        <v>38</v>
      </c>
      <c r="F33" t="s">
        <v>36</v>
      </c>
      <c r="G33" t="s">
        <v>24</v>
      </c>
    </row>
    <row r="34" spans="5:12" x14ac:dyDescent="0.25">
      <c r="E34" s="7" t="s">
        <v>62</v>
      </c>
      <c r="F34" s="2"/>
      <c r="G34" s="2"/>
    </row>
    <row r="35" spans="5:12" x14ac:dyDescent="0.25">
      <c r="E35" s="27" t="s">
        <v>50</v>
      </c>
      <c r="F35" s="2">
        <v>0</v>
      </c>
      <c r="G35" s="2">
        <v>56</v>
      </c>
      <c r="H35" s="6" t="s">
        <v>39</v>
      </c>
      <c r="I35" s="6" t="s">
        <v>38</v>
      </c>
      <c r="K35" s="28" t="s">
        <v>66</v>
      </c>
      <c r="L35" s="28" t="str">
        <f t="shared" ref="L35" si="9">I35</f>
        <v>Retention Rate</v>
      </c>
    </row>
    <row r="36" spans="5:12" x14ac:dyDescent="0.25">
      <c r="E36" s="27" t="s">
        <v>51</v>
      </c>
      <c r="F36" s="2">
        <v>0</v>
      </c>
      <c r="G36" s="2">
        <v>48</v>
      </c>
      <c r="H36" s="16">
        <f t="shared" ref="H36:H58" ca="1" si="10">OFFSET(G36,-1,0)</f>
        <v>56</v>
      </c>
      <c r="I36" s="15">
        <f t="shared" ref="I36:I58" ca="1" si="11">F36/H36</f>
        <v>0</v>
      </c>
      <c r="K36" s="1" t="str">
        <f>"2023-"&amp;E35</f>
        <v>2023-Jan</v>
      </c>
      <c r="L36" s="9"/>
    </row>
    <row r="37" spans="5:12" x14ac:dyDescent="0.25">
      <c r="E37" s="27" t="s">
        <v>52</v>
      </c>
      <c r="F37" s="2">
        <v>8</v>
      </c>
      <c r="G37" s="2">
        <v>44</v>
      </c>
      <c r="H37" s="16">
        <f t="shared" ca="1" si="10"/>
        <v>48</v>
      </c>
      <c r="I37" s="15">
        <f t="shared" ca="1" si="11"/>
        <v>0.16666666666666666</v>
      </c>
      <c r="K37" s="1" t="str">
        <f t="shared" ref="K37:K47" si="12">"2023-"&amp;E36</f>
        <v>2023-Feb</v>
      </c>
      <c r="L37" s="9">
        <f t="shared" ref="L37:L47" ca="1" si="13">I36</f>
        <v>0</v>
      </c>
    </row>
    <row r="38" spans="5:12" x14ac:dyDescent="0.25">
      <c r="E38" s="27" t="s">
        <v>53</v>
      </c>
      <c r="F38" s="2">
        <v>7</v>
      </c>
      <c r="G38" s="2">
        <v>46</v>
      </c>
      <c r="H38" s="16">
        <f t="shared" ca="1" si="10"/>
        <v>44</v>
      </c>
      <c r="I38" s="15">
        <f t="shared" ca="1" si="11"/>
        <v>0.15909090909090909</v>
      </c>
      <c r="K38" s="1" t="str">
        <f t="shared" si="12"/>
        <v>2023-Mar</v>
      </c>
      <c r="L38" s="9">
        <f t="shared" ca="1" si="13"/>
        <v>0.16666666666666666</v>
      </c>
    </row>
    <row r="39" spans="5:12" x14ac:dyDescent="0.25">
      <c r="E39" s="27" t="s">
        <v>54</v>
      </c>
      <c r="F39" s="2">
        <v>15</v>
      </c>
      <c r="G39" s="2">
        <v>45</v>
      </c>
      <c r="H39" s="16">
        <f t="shared" ca="1" si="10"/>
        <v>46</v>
      </c>
      <c r="I39" s="15">
        <f t="shared" ca="1" si="11"/>
        <v>0.32608695652173914</v>
      </c>
      <c r="K39" s="1" t="str">
        <f t="shared" si="12"/>
        <v>2023-Apr</v>
      </c>
      <c r="L39" s="9">
        <f t="shared" ca="1" si="13"/>
        <v>0.15909090909090909</v>
      </c>
    </row>
    <row r="40" spans="5:12" x14ac:dyDescent="0.25">
      <c r="E40" s="27" t="s">
        <v>55</v>
      </c>
      <c r="F40" s="2">
        <v>12</v>
      </c>
      <c r="G40" s="2">
        <v>39</v>
      </c>
      <c r="H40" s="16">
        <f t="shared" ca="1" si="10"/>
        <v>45</v>
      </c>
      <c r="I40" s="15">
        <f t="shared" ca="1" si="11"/>
        <v>0.26666666666666666</v>
      </c>
      <c r="K40" s="1" t="str">
        <f t="shared" si="12"/>
        <v>2023-May</v>
      </c>
      <c r="L40" s="9">
        <f t="shared" ca="1" si="13"/>
        <v>0.32608695652173914</v>
      </c>
    </row>
    <row r="41" spans="5:12" x14ac:dyDescent="0.25">
      <c r="E41" s="27" t="s">
        <v>56</v>
      </c>
      <c r="F41" s="2">
        <v>13</v>
      </c>
      <c r="G41" s="2">
        <v>34</v>
      </c>
      <c r="H41" s="16">
        <f t="shared" ca="1" si="10"/>
        <v>39</v>
      </c>
      <c r="I41" s="15">
        <f t="shared" ca="1" si="11"/>
        <v>0.33333333333333331</v>
      </c>
      <c r="K41" s="1" t="str">
        <f t="shared" si="12"/>
        <v>2023-Jun</v>
      </c>
      <c r="L41" s="9">
        <f t="shared" ca="1" si="13"/>
        <v>0.26666666666666666</v>
      </c>
    </row>
    <row r="42" spans="5:12" x14ac:dyDescent="0.25">
      <c r="E42" s="27" t="s">
        <v>57</v>
      </c>
      <c r="F42" s="2">
        <v>16</v>
      </c>
      <c r="G42" s="2">
        <v>52</v>
      </c>
      <c r="H42" s="16">
        <f t="shared" ca="1" si="10"/>
        <v>34</v>
      </c>
      <c r="I42" s="15">
        <f t="shared" ca="1" si="11"/>
        <v>0.47058823529411764</v>
      </c>
      <c r="K42" s="1" t="str">
        <f t="shared" si="12"/>
        <v>2023-Jul</v>
      </c>
      <c r="L42" s="9">
        <f t="shared" ca="1" si="13"/>
        <v>0.33333333333333331</v>
      </c>
    </row>
    <row r="43" spans="5:12" x14ac:dyDescent="0.25">
      <c r="E43" s="27" t="s">
        <v>58</v>
      </c>
      <c r="F43" s="2">
        <v>12</v>
      </c>
      <c r="G43" s="2">
        <v>37</v>
      </c>
      <c r="H43" s="16">
        <f t="shared" ca="1" si="10"/>
        <v>52</v>
      </c>
      <c r="I43" s="15">
        <f t="shared" ca="1" si="11"/>
        <v>0.23076923076923078</v>
      </c>
      <c r="K43" s="1" t="str">
        <f t="shared" si="12"/>
        <v>2023-Aug</v>
      </c>
      <c r="L43" s="9">
        <f t="shared" ca="1" si="13"/>
        <v>0.47058823529411764</v>
      </c>
    </row>
    <row r="44" spans="5:12" x14ac:dyDescent="0.25">
      <c r="E44" s="27" t="s">
        <v>59</v>
      </c>
      <c r="F44" s="2">
        <v>15</v>
      </c>
      <c r="G44" s="2">
        <v>45</v>
      </c>
      <c r="H44" s="16">
        <f t="shared" ca="1" si="10"/>
        <v>37</v>
      </c>
      <c r="I44" s="15">
        <f t="shared" ca="1" si="11"/>
        <v>0.40540540540540543</v>
      </c>
      <c r="K44" s="1" t="str">
        <f t="shared" si="12"/>
        <v>2023-Sep</v>
      </c>
      <c r="L44" s="9">
        <f t="shared" ca="1" si="13"/>
        <v>0.23076923076923078</v>
      </c>
    </row>
    <row r="45" spans="5:12" x14ac:dyDescent="0.25">
      <c r="E45" s="27" t="s">
        <v>60</v>
      </c>
      <c r="F45" s="2">
        <v>20</v>
      </c>
      <c r="G45" s="2">
        <v>46</v>
      </c>
      <c r="H45" s="16">
        <f t="shared" ca="1" si="10"/>
        <v>45</v>
      </c>
      <c r="I45" s="15">
        <f t="shared" ca="1" si="11"/>
        <v>0.44444444444444442</v>
      </c>
      <c r="K45" s="1" t="str">
        <f t="shared" si="12"/>
        <v>2023-Oct</v>
      </c>
      <c r="L45" s="9">
        <f t="shared" ca="1" si="13"/>
        <v>0.40540540540540543</v>
      </c>
    </row>
    <row r="46" spans="5:12" x14ac:dyDescent="0.25">
      <c r="E46" s="27" t="s">
        <v>61</v>
      </c>
      <c r="F46" s="2">
        <v>20</v>
      </c>
      <c r="G46" s="2">
        <v>49</v>
      </c>
      <c r="H46" s="16">
        <f t="shared" ca="1" si="10"/>
        <v>46</v>
      </c>
      <c r="I46" s="15">
        <f t="shared" ca="1" si="11"/>
        <v>0.43478260869565216</v>
      </c>
      <c r="K46" s="1" t="str">
        <f t="shared" si="12"/>
        <v>2023-Nov</v>
      </c>
      <c r="L46" s="9">
        <f t="shared" ca="1" si="13"/>
        <v>0.44444444444444442</v>
      </c>
    </row>
    <row r="47" spans="5:12" x14ac:dyDescent="0.25">
      <c r="E47" s="7" t="s">
        <v>63</v>
      </c>
      <c r="F47" s="2"/>
      <c r="G47" s="2"/>
      <c r="H47" s="16"/>
      <c r="I47" s="15"/>
      <c r="K47" s="1" t="str">
        <f t="shared" si="12"/>
        <v>2023-Dec</v>
      </c>
      <c r="L47" s="9">
        <f t="shared" ca="1" si="13"/>
        <v>0.43478260869565216</v>
      </c>
    </row>
    <row r="48" spans="5:12" x14ac:dyDescent="0.25">
      <c r="E48" s="27" t="s">
        <v>50</v>
      </c>
      <c r="F48" s="2">
        <v>16</v>
      </c>
      <c r="G48" s="2">
        <v>38</v>
      </c>
      <c r="H48" s="16"/>
      <c r="I48" s="15"/>
      <c r="K48" s="1"/>
    </row>
    <row r="49" spans="5:12" x14ac:dyDescent="0.25">
      <c r="E49" s="27" t="s">
        <v>51</v>
      </c>
      <c r="F49" s="2">
        <v>14</v>
      </c>
      <c r="G49" s="2">
        <v>35</v>
      </c>
      <c r="H49" s="16">
        <f t="shared" ca="1" si="10"/>
        <v>38</v>
      </c>
      <c r="I49" s="15">
        <f t="shared" ca="1" si="11"/>
        <v>0.36842105263157893</v>
      </c>
      <c r="K49" s="1" t="str">
        <f>"2024-"&amp;E48</f>
        <v>2024-Jan</v>
      </c>
      <c r="L49" s="9"/>
    </row>
    <row r="50" spans="5:12" x14ac:dyDescent="0.25">
      <c r="E50" s="27" t="s">
        <v>52</v>
      </c>
      <c r="F50" s="2">
        <v>22</v>
      </c>
      <c r="G50" s="2">
        <v>41</v>
      </c>
      <c r="H50" s="16">
        <f t="shared" ca="1" si="10"/>
        <v>35</v>
      </c>
      <c r="I50" s="15">
        <f t="shared" ca="1" si="11"/>
        <v>0.62857142857142856</v>
      </c>
      <c r="K50" s="1" t="str">
        <f t="shared" ref="K50:K59" si="14">"2024-"&amp;E49</f>
        <v>2024-Feb</v>
      </c>
      <c r="L50" s="9">
        <f t="shared" ref="L50:L59" ca="1" si="15">I49</f>
        <v>0.36842105263157893</v>
      </c>
    </row>
    <row r="51" spans="5:12" x14ac:dyDescent="0.25">
      <c r="E51" s="27" t="s">
        <v>53</v>
      </c>
      <c r="F51" s="2">
        <v>17</v>
      </c>
      <c r="G51" s="2">
        <v>38</v>
      </c>
      <c r="H51" s="16">
        <f t="shared" ca="1" si="10"/>
        <v>41</v>
      </c>
      <c r="I51" s="15">
        <f t="shared" ca="1" si="11"/>
        <v>0.41463414634146339</v>
      </c>
      <c r="K51" s="1" t="str">
        <f t="shared" si="14"/>
        <v>2024-Mar</v>
      </c>
      <c r="L51" s="9">
        <f t="shared" ca="1" si="15"/>
        <v>0.62857142857142856</v>
      </c>
    </row>
    <row r="52" spans="5:12" x14ac:dyDescent="0.25">
      <c r="E52" s="27" t="s">
        <v>54</v>
      </c>
      <c r="F52" s="2">
        <v>21</v>
      </c>
      <c r="G52" s="2">
        <v>43</v>
      </c>
      <c r="H52" s="16">
        <f t="shared" ca="1" si="10"/>
        <v>38</v>
      </c>
      <c r="I52" s="15">
        <f t="shared" ca="1" si="11"/>
        <v>0.55263157894736847</v>
      </c>
      <c r="K52" s="1" t="str">
        <f t="shared" si="14"/>
        <v>2024-Apr</v>
      </c>
      <c r="L52" s="9">
        <f t="shared" ca="1" si="15"/>
        <v>0.41463414634146339</v>
      </c>
    </row>
    <row r="53" spans="5:12" x14ac:dyDescent="0.25">
      <c r="E53" s="27" t="s">
        <v>55</v>
      </c>
      <c r="F53" s="2">
        <v>26</v>
      </c>
      <c r="G53" s="2">
        <v>47</v>
      </c>
      <c r="H53" s="16">
        <f t="shared" ca="1" si="10"/>
        <v>43</v>
      </c>
      <c r="I53" s="15">
        <f t="shared" ca="1" si="11"/>
        <v>0.60465116279069764</v>
      </c>
      <c r="K53" s="1" t="str">
        <f t="shared" si="14"/>
        <v>2024-May</v>
      </c>
      <c r="L53" s="9">
        <f t="shared" ca="1" si="15"/>
        <v>0.55263157894736847</v>
      </c>
    </row>
    <row r="54" spans="5:12" x14ac:dyDescent="0.25">
      <c r="E54" s="27" t="s">
        <v>56</v>
      </c>
      <c r="F54" s="2">
        <v>24</v>
      </c>
      <c r="G54" s="2">
        <v>42</v>
      </c>
      <c r="H54" s="16">
        <f t="shared" ca="1" si="10"/>
        <v>47</v>
      </c>
      <c r="I54" s="15">
        <f t="shared" ca="1" si="11"/>
        <v>0.51063829787234039</v>
      </c>
      <c r="K54" s="1" t="str">
        <f t="shared" si="14"/>
        <v>2024-Jun</v>
      </c>
      <c r="L54" s="9">
        <f t="shared" ca="1" si="15"/>
        <v>0.60465116279069764</v>
      </c>
    </row>
    <row r="55" spans="5:12" x14ac:dyDescent="0.25">
      <c r="E55" s="27" t="s">
        <v>57</v>
      </c>
      <c r="F55" s="2">
        <v>22</v>
      </c>
      <c r="G55" s="2">
        <v>35</v>
      </c>
      <c r="H55" s="16">
        <f t="shared" ca="1" si="10"/>
        <v>42</v>
      </c>
      <c r="I55" s="15">
        <f t="shared" ca="1" si="11"/>
        <v>0.52380952380952384</v>
      </c>
      <c r="K55" s="1" t="str">
        <f t="shared" si="14"/>
        <v>2024-Jul</v>
      </c>
      <c r="L55" s="9">
        <f t="shared" ca="1" si="15"/>
        <v>0.51063829787234039</v>
      </c>
    </row>
    <row r="56" spans="5:12" x14ac:dyDescent="0.25">
      <c r="E56" s="27" t="s">
        <v>58</v>
      </c>
      <c r="F56" s="2">
        <v>22</v>
      </c>
      <c r="G56" s="2">
        <v>38</v>
      </c>
      <c r="H56" s="16">
        <f t="shared" ca="1" si="10"/>
        <v>35</v>
      </c>
      <c r="I56" s="15">
        <f t="shared" ca="1" si="11"/>
        <v>0.62857142857142856</v>
      </c>
      <c r="K56" s="1" t="str">
        <f t="shared" si="14"/>
        <v>2024-Aug</v>
      </c>
      <c r="L56" s="9">
        <f t="shared" ca="1" si="15"/>
        <v>0.52380952380952384</v>
      </c>
    </row>
    <row r="57" spans="5:12" x14ac:dyDescent="0.25">
      <c r="E57" s="27" t="s">
        <v>59</v>
      </c>
      <c r="F57" s="2">
        <v>27</v>
      </c>
      <c r="G57" s="2">
        <v>41</v>
      </c>
      <c r="H57" s="16">
        <f t="shared" ca="1" si="10"/>
        <v>38</v>
      </c>
      <c r="I57" s="15">
        <f t="shared" ca="1" si="11"/>
        <v>0.71052631578947367</v>
      </c>
      <c r="K57" s="1" t="str">
        <f t="shared" si="14"/>
        <v>2024-Sep</v>
      </c>
      <c r="L57" s="9">
        <f t="shared" ca="1" si="15"/>
        <v>0.62857142857142856</v>
      </c>
    </row>
    <row r="58" spans="5:12" x14ac:dyDescent="0.25">
      <c r="E58" s="27" t="s">
        <v>60</v>
      </c>
      <c r="F58" s="2">
        <v>25</v>
      </c>
      <c r="G58" s="2">
        <v>43</v>
      </c>
      <c r="H58" s="16">
        <f t="shared" ca="1" si="10"/>
        <v>41</v>
      </c>
      <c r="I58" s="15">
        <f t="shared" ca="1" si="11"/>
        <v>0.6097560975609756</v>
      </c>
      <c r="K58" s="1" t="str">
        <f t="shared" si="14"/>
        <v>2024-Oct</v>
      </c>
      <c r="L58" s="9">
        <f t="shared" ca="1" si="15"/>
        <v>0.71052631578947367</v>
      </c>
    </row>
    <row r="59" spans="5:12" x14ac:dyDescent="0.25">
      <c r="E59" s="7" t="s">
        <v>28</v>
      </c>
      <c r="F59" s="2">
        <v>374</v>
      </c>
      <c r="G59" s="2">
        <v>615</v>
      </c>
      <c r="H59" s="16"/>
      <c r="I59" s="15"/>
      <c r="K59" s="1" t="str">
        <f t="shared" si="14"/>
        <v>2024-Nov</v>
      </c>
      <c r="L59" s="9">
        <f t="shared" ca="1" si="15"/>
        <v>0.6097560975609756</v>
      </c>
    </row>
    <row r="64" spans="5:12" ht="15.75" x14ac:dyDescent="0.25">
      <c r="E64" s="29" t="s">
        <v>34</v>
      </c>
      <c r="F64" s="29"/>
    </row>
    <row r="65" spans="5:10" x14ac:dyDescent="0.25">
      <c r="E65" s="3" t="s">
        <v>23</v>
      </c>
      <c r="F65" t="s" vm="1">
        <v>25</v>
      </c>
    </row>
    <row r="66" spans="5:10" x14ac:dyDescent="0.25">
      <c r="E66" s="18" t="s">
        <v>26</v>
      </c>
      <c r="H66" s="6" t="str">
        <f t="shared" ref="H66:H90" si="16">K5</f>
        <v>Date</v>
      </c>
      <c r="I66" s="6" t="str">
        <f t="shared" ref="I66:I90" si="17">L5</f>
        <v>Chrun Rate</v>
      </c>
      <c r="J66" s="6" t="str">
        <f t="shared" ref="J66:J90" si="18">L35</f>
        <v>Retention Rate</v>
      </c>
    </row>
    <row r="67" spans="5:10" x14ac:dyDescent="0.25">
      <c r="E67" s="3" t="s">
        <v>49</v>
      </c>
      <c r="F67" t="s">
        <v>24</v>
      </c>
      <c r="H67" s="27" t="str">
        <f t="shared" si="16"/>
        <v>2023-Jan</v>
      </c>
      <c r="I67" s="24"/>
      <c r="J67" s="24"/>
    </row>
    <row r="68" spans="5:10" x14ac:dyDescent="0.25">
      <c r="E68" s="7" t="s">
        <v>62</v>
      </c>
      <c r="F68" s="11"/>
      <c r="H68" s="27" t="str">
        <f t="shared" si="16"/>
        <v>2023-Feb</v>
      </c>
      <c r="I68" s="24">
        <f t="shared" ca="1" si="17"/>
        <v>0.14285714285714285</v>
      </c>
      <c r="J68" s="24">
        <f t="shared" ca="1" si="18"/>
        <v>0</v>
      </c>
    </row>
    <row r="69" spans="5:10" x14ac:dyDescent="0.25">
      <c r="E69" s="27" t="s">
        <v>50</v>
      </c>
      <c r="F69" s="11">
        <v>40</v>
      </c>
      <c r="H69" s="27" t="str">
        <f t="shared" si="16"/>
        <v>2023-Mar</v>
      </c>
      <c r="I69" s="24">
        <f t="shared" ca="1" si="17"/>
        <v>8.3333333333333329E-2</v>
      </c>
      <c r="J69" s="24">
        <f t="shared" ca="1" si="18"/>
        <v>0.16666666666666666</v>
      </c>
    </row>
    <row r="70" spans="5:10" x14ac:dyDescent="0.25">
      <c r="E70" s="27" t="s">
        <v>51</v>
      </c>
      <c r="F70" s="11">
        <v>32</v>
      </c>
      <c r="H70" s="27" t="str">
        <f t="shared" si="16"/>
        <v>2023-Apr</v>
      </c>
      <c r="I70" s="24">
        <f t="shared" ca="1" si="17"/>
        <v>-4.5454545454545456E-2</v>
      </c>
      <c r="J70" s="24">
        <f t="shared" ca="1" si="18"/>
        <v>0.15909090909090909</v>
      </c>
    </row>
    <row r="71" spans="5:10" x14ac:dyDescent="0.25">
      <c r="E71" s="27" t="s">
        <v>52</v>
      </c>
      <c r="F71" s="11">
        <v>33</v>
      </c>
      <c r="H71" s="27" t="str">
        <f t="shared" si="16"/>
        <v>2023-May</v>
      </c>
      <c r="I71" s="24">
        <f t="shared" ca="1" si="17"/>
        <v>2.1739130434782608E-2</v>
      </c>
      <c r="J71" s="24">
        <f t="shared" ca="1" si="18"/>
        <v>0.32608695652173914</v>
      </c>
    </row>
    <row r="72" spans="5:10" x14ac:dyDescent="0.25">
      <c r="E72" s="27" t="s">
        <v>53</v>
      </c>
      <c r="F72" s="11">
        <v>29</v>
      </c>
      <c r="H72" s="27" t="str">
        <f t="shared" si="16"/>
        <v>2023-Jun</v>
      </c>
      <c r="I72" s="24">
        <f t="shared" ca="1" si="17"/>
        <v>0.13333333333333333</v>
      </c>
      <c r="J72" s="24">
        <f t="shared" ca="1" si="18"/>
        <v>0.26666666666666666</v>
      </c>
    </row>
    <row r="73" spans="5:10" x14ac:dyDescent="0.25">
      <c r="E73" s="27" t="s">
        <v>54</v>
      </c>
      <c r="F73" s="11">
        <v>34</v>
      </c>
      <c r="H73" s="27" t="str">
        <f t="shared" si="16"/>
        <v>2023-Jul</v>
      </c>
      <c r="I73" s="24">
        <f t="shared" ca="1" si="17"/>
        <v>0.12820512820512819</v>
      </c>
      <c r="J73" s="24">
        <f t="shared" ca="1" si="18"/>
        <v>0.33333333333333331</v>
      </c>
    </row>
    <row r="74" spans="5:10" x14ac:dyDescent="0.25">
      <c r="E74" s="27" t="s">
        <v>55</v>
      </c>
      <c r="F74" s="11">
        <v>26</v>
      </c>
      <c r="H74" s="27" t="str">
        <f t="shared" si="16"/>
        <v>2023-Aug</v>
      </c>
      <c r="I74" s="24">
        <f t="shared" ca="1" si="17"/>
        <v>-0.52941176470588236</v>
      </c>
      <c r="J74" s="24">
        <f t="shared" ca="1" si="18"/>
        <v>0.47058823529411764</v>
      </c>
    </row>
    <row r="75" spans="5:10" x14ac:dyDescent="0.25">
      <c r="E75" s="27" t="s">
        <v>56</v>
      </c>
      <c r="F75" s="11">
        <v>25</v>
      </c>
      <c r="H75" s="27" t="str">
        <f t="shared" si="16"/>
        <v>2023-Sep</v>
      </c>
      <c r="I75" s="24">
        <f t="shared" ca="1" si="17"/>
        <v>0.28846153846153844</v>
      </c>
      <c r="J75" s="24">
        <f t="shared" ca="1" si="18"/>
        <v>0.23076923076923078</v>
      </c>
    </row>
    <row r="76" spans="5:10" x14ac:dyDescent="0.25">
      <c r="E76" s="27" t="s">
        <v>57</v>
      </c>
      <c r="F76" s="11">
        <v>31</v>
      </c>
      <c r="H76" s="27" t="str">
        <f t="shared" si="16"/>
        <v>2023-Oct</v>
      </c>
      <c r="I76" s="24">
        <f t="shared" ca="1" si="17"/>
        <v>-0.21621621621621623</v>
      </c>
      <c r="J76" s="24">
        <f t="shared" ca="1" si="18"/>
        <v>0.40540540540540543</v>
      </c>
    </row>
    <row r="77" spans="5:10" x14ac:dyDescent="0.25">
      <c r="E77" s="27" t="s">
        <v>58</v>
      </c>
      <c r="F77" s="11">
        <v>26</v>
      </c>
      <c r="H77" s="27" t="str">
        <f t="shared" si="16"/>
        <v>2023-Nov</v>
      </c>
      <c r="I77" s="24">
        <f t="shared" ca="1" si="17"/>
        <v>-2.2222222222222223E-2</v>
      </c>
      <c r="J77" s="24">
        <f t="shared" ca="1" si="18"/>
        <v>0.44444444444444442</v>
      </c>
    </row>
    <row r="78" spans="5:10" x14ac:dyDescent="0.25">
      <c r="E78" s="27" t="s">
        <v>59</v>
      </c>
      <c r="F78" s="11">
        <v>26</v>
      </c>
      <c r="H78" s="27" t="str">
        <f t="shared" si="16"/>
        <v>2023-Dec</v>
      </c>
      <c r="I78" s="24">
        <f t="shared" ca="1" si="17"/>
        <v>-6.5217391304347824E-2</v>
      </c>
      <c r="J78" s="24">
        <f t="shared" ca="1" si="18"/>
        <v>0.43478260869565216</v>
      </c>
    </row>
    <row r="79" spans="5:10" x14ac:dyDescent="0.25">
      <c r="E79" s="27" t="s">
        <v>60</v>
      </c>
      <c r="F79" s="11">
        <v>29</v>
      </c>
      <c r="H79" s="27"/>
      <c r="I79" s="24"/>
      <c r="J79" s="24"/>
    </row>
    <row r="80" spans="5:10" x14ac:dyDescent="0.25">
      <c r="E80" s="27" t="s">
        <v>61</v>
      </c>
      <c r="F80" s="11">
        <v>30</v>
      </c>
      <c r="H80" s="27" t="str">
        <f t="shared" si="16"/>
        <v>2024-Jan</v>
      </c>
      <c r="I80" s="24"/>
      <c r="J80" s="24"/>
    </row>
    <row r="81" spans="5:10" x14ac:dyDescent="0.25">
      <c r="E81" s="7" t="s">
        <v>63</v>
      </c>
      <c r="F81" s="11"/>
      <c r="H81" s="27" t="str">
        <f t="shared" si="16"/>
        <v>2024-Feb</v>
      </c>
      <c r="I81" s="24">
        <f t="shared" ca="1" si="17"/>
        <v>7.8947368421052627E-2</v>
      </c>
      <c r="J81" s="24">
        <f t="shared" ca="1" si="18"/>
        <v>0.36842105263157893</v>
      </c>
    </row>
    <row r="82" spans="5:10" x14ac:dyDescent="0.25">
      <c r="E82" s="27" t="s">
        <v>50</v>
      </c>
      <c r="F82" s="11">
        <v>22</v>
      </c>
      <c r="H82" s="27" t="str">
        <f t="shared" si="16"/>
        <v>2024-Mar</v>
      </c>
      <c r="I82" s="24">
        <f t="shared" ca="1" si="17"/>
        <v>-0.17142857142857143</v>
      </c>
      <c r="J82" s="24">
        <f t="shared" ca="1" si="18"/>
        <v>0.62857142857142856</v>
      </c>
    </row>
    <row r="83" spans="5:10" x14ac:dyDescent="0.25">
      <c r="E83" s="27" t="s">
        <v>51</v>
      </c>
      <c r="F83" s="11">
        <v>22</v>
      </c>
      <c r="H83" s="27" t="str">
        <f t="shared" si="16"/>
        <v>2024-Apr</v>
      </c>
      <c r="I83" s="24">
        <f t="shared" ca="1" si="17"/>
        <v>7.3170731707317069E-2</v>
      </c>
      <c r="J83" s="24">
        <f t="shared" ca="1" si="18"/>
        <v>0.41463414634146339</v>
      </c>
    </row>
    <row r="84" spans="5:10" x14ac:dyDescent="0.25">
      <c r="E84" s="27" t="s">
        <v>52</v>
      </c>
      <c r="F84" s="11">
        <v>27</v>
      </c>
      <c r="H84" s="27" t="str">
        <f t="shared" si="16"/>
        <v>2024-May</v>
      </c>
      <c r="I84" s="24">
        <f t="shared" ca="1" si="17"/>
        <v>-0.13157894736842105</v>
      </c>
      <c r="J84" s="24">
        <f t="shared" ca="1" si="18"/>
        <v>0.55263157894736847</v>
      </c>
    </row>
    <row r="85" spans="5:10" x14ac:dyDescent="0.25">
      <c r="E85" s="27" t="s">
        <v>53</v>
      </c>
      <c r="F85" s="11">
        <v>20</v>
      </c>
      <c r="H85" s="27" t="str">
        <f t="shared" si="16"/>
        <v>2024-Jun</v>
      </c>
      <c r="I85" s="24">
        <f t="shared" ca="1" si="17"/>
        <v>-9.3023255813953487E-2</v>
      </c>
      <c r="J85" s="24">
        <f t="shared" ca="1" si="18"/>
        <v>0.60465116279069764</v>
      </c>
    </row>
    <row r="86" spans="5:10" x14ac:dyDescent="0.25">
      <c r="E86" s="27" t="s">
        <v>54</v>
      </c>
      <c r="F86" s="11">
        <v>25</v>
      </c>
      <c r="H86" s="27" t="str">
        <f t="shared" si="16"/>
        <v>2024-Jul</v>
      </c>
      <c r="I86" s="24">
        <f t="shared" ca="1" si="17"/>
        <v>0.10638297872340426</v>
      </c>
      <c r="J86" s="24">
        <f t="shared" ca="1" si="18"/>
        <v>0.51063829787234039</v>
      </c>
    </row>
    <row r="87" spans="5:10" x14ac:dyDescent="0.25">
      <c r="E87" s="27" t="s">
        <v>55</v>
      </c>
      <c r="F87" s="11">
        <v>32</v>
      </c>
      <c r="H87" s="27" t="str">
        <f t="shared" si="16"/>
        <v>2024-Aug</v>
      </c>
      <c r="I87" s="24">
        <f t="shared" ca="1" si="17"/>
        <v>0.16666666666666666</v>
      </c>
      <c r="J87" s="24">
        <f t="shared" ca="1" si="18"/>
        <v>0.52380952380952384</v>
      </c>
    </row>
    <row r="88" spans="5:10" x14ac:dyDescent="0.25">
      <c r="E88" s="27" t="s">
        <v>56</v>
      </c>
      <c r="F88" s="11">
        <v>30</v>
      </c>
      <c r="H88" s="27" t="str">
        <f t="shared" si="16"/>
        <v>2024-Sep</v>
      </c>
      <c r="I88" s="24">
        <f t="shared" ca="1" si="17"/>
        <v>-8.5714285714285715E-2</v>
      </c>
      <c r="J88" s="24">
        <f t="shared" ca="1" si="18"/>
        <v>0.62857142857142856</v>
      </c>
    </row>
    <row r="89" spans="5:10" x14ac:dyDescent="0.25">
      <c r="E89" s="27" t="s">
        <v>57</v>
      </c>
      <c r="F89" s="11">
        <v>24</v>
      </c>
      <c r="H89" s="27" t="str">
        <f t="shared" si="16"/>
        <v>2024-Oct</v>
      </c>
      <c r="I89" s="24">
        <f t="shared" ca="1" si="17"/>
        <v>-7.8947368421052627E-2</v>
      </c>
      <c r="J89" s="24">
        <f t="shared" ca="1" si="18"/>
        <v>0.71052631578947367</v>
      </c>
    </row>
    <row r="90" spans="5:10" x14ac:dyDescent="0.25">
      <c r="E90" s="27" t="s">
        <v>58</v>
      </c>
      <c r="F90" s="11">
        <v>23</v>
      </c>
      <c r="H90" s="27" t="str">
        <f t="shared" si="16"/>
        <v>2024-Nov</v>
      </c>
      <c r="I90" s="24">
        <f t="shared" ca="1" si="17"/>
        <v>-4.878048780487805E-2</v>
      </c>
      <c r="J90" s="24">
        <f t="shared" ca="1" si="18"/>
        <v>0.6097560975609756</v>
      </c>
    </row>
    <row r="91" spans="5:10" x14ac:dyDescent="0.25">
      <c r="E91" s="27" t="s">
        <v>59</v>
      </c>
      <c r="F91" s="11">
        <v>29</v>
      </c>
    </row>
    <row r="92" spans="5:10" x14ac:dyDescent="0.25">
      <c r="E92" s="27" t="s">
        <v>60</v>
      </c>
      <c r="F92" s="11">
        <v>25</v>
      </c>
    </row>
    <row r="93" spans="5:10" x14ac:dyDescent="0.25">
      <c r="E93" s="7" t="s">
        <v>28</v>
      </c>
      <c r="F93" s="11">
        <v>273</v>
      </c>
    </row>
  </sheetData>
  <mergeCells count="4">
    <mergeCell ref="E2:F2"/>
    <mergeCell ref="B9:C9"/>
    <mergeCell ref="E32:G32"/>
    <mergeCell ref="E64:F64"/>
  </mergeCells>
  <pageMargins left="0.7" right="0.7" top="0.75" bottom="0.75" header="0.3" footer="0.3"/>
  <pageSetup paperSize="9"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66E16-7BFC-4BB7-822A-4A4B501C0BFC}">
  <dimension ref="A1:AK45"/>
  <sheetViews>
    <sheetView workbookViewId="0">
      <selection activeCell="S3" sqref="S3"/>
    </sheetView>
  </sheetViews>
  <sheetFormatPr defaultRowHeight="15" x14ac:dyDescent="0.25"/>
  <cols>
    <col min="16" max="16" width="12" customWidth="1"/>
    <col min="37" max="37" width="10.42578125" bestFit="1" customWidth="1"/>
  </cols>
  <sheetData>
    <row r="1" spans="1:37" x14ac:dyDescent="0.25">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row>
    <row r="2" spans="1:37" x14ac:dyDescent="0.25">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K2" s="32" t="s">
        <v>21</v>
      </c>
    </row>
    <row r="3" spans="1:37" x14ac:dyDescent="0.25">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K3" s="32">
        <v>249596.41999999995</v>
      </c>
    </row>
    <row r="4" spans="1:37" x14ac:dyDescent="0.25">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row>
    <row r="5" spans="1:37" x14ac:dyDescent="0.25">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row>
    <row r="6" spans="1:37" x14ac:dyDescent="0.25">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row>
    <row r="7" spans="1:37" x14ac:dyDescent="0.25">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row>
    <row r="8" spans="1:37" x14ac:dyDescent="0.25">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K8" t="str">
        <f t="shared" ref="AK8:AK9" si="0">AK2</f>
        <v>Total Sales</v>
      </c>
    </row>
    <row r="9" spans="1:37" x14ac:dyDescent="0.25">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K9">
        <f t="shared" si="0"/>
        <v>249596.41999999995</v>
      </c>
    </row>
    <row r="10" spans="1:37" x14ac:dyDescent="0.25">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row>
    <row r="11" spans="1:37" x14ac:dyDescent="0.2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row>
    <row r="12" spans="1:37" x14ac:dyDescent="0.2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row>
    <row r="13" spans="1:37" x14ac:dyDescent="0.2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row>
    <row r="14" spans="1:37" x14ac:dyDescent="0.25">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row>
    <row r="15" spans="1:37" x14ac:dyDescent="0.2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row>
    <row r="16" spans="1:37" x14ac:dyDescent="0.2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row>
    <row r="17" spans="1:33" x14ac:dyDescent="0.2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row>
    <row r="18" spans="1:33" x14ac:dyDescent="0.2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row>
    <row r="19" spans="1:33" x14ac:dyDescent="0.2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row>
    <row r="20" spans="1:33" x14ac:dyDescent="0.2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row>
    <row r="21" spans="1:33" x14ac:dyDescent="0.2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row>
    <row r="22" spans="1:33" x14ac:dyDescent="0.2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row>
    <row r="23" spans="1:33"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row>
    <row r="24" spans="1:33"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row>
    <row r="25" spans="1:33"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row>
    <row r="26" spans="1:33"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row>
    <row r="27" spans="1:33"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row>
    <row r="28" spans="1:33"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row>
    <row r="29" spans="1:33"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row>
    <row r="30" spans="1:33"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row>
    <row r="31" spans="1:33"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row>
    <row r="32" spans="1:33"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row>
    <row r="33" spans="1:33"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row>
    <row r="34" spans="1:33"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row>
    <row r="35" spans="1:33"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row>
    <row r="36" spans="1:33"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row>
    <row r="37" spans="1:33"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row>
    <row r="38" spans="1:33"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row>
    <row r="39" spans="1:33"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row>
    <row r="40" spans="1:33"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row>
    <row r="41" spans="1:33"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row>
    <row r="42" spans="1:33"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row>
    <row r="43" spans="1:33"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row>
    <row r="44" spans="1:33" x14ac:dyDescent="0.2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row>
    <row r="45" spans="1:33"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C2F1C-A4CF-4D8A-82BE-D1EAF044B84E}">
  <dimension ref="A1:AD36"/>
  <sheetViews>
    <sheetView workbookViewId="0">
      <selection activeCell="P3" sqref="P3"/>
    </sheetView>
  </sheetViews>
  <sheetFormatPr defaultRowHeight="15" x14ac:dyDescent="0.25"/>
  <sheetData>
    <row r="1" spans="1:30" x14ac:dyDescent="0.25">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row>
    <row r="2" spans="1:30" x14ac:dyDescent="0.25">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row>
    <row r="3" spans="1:30" x14ac:dyDescent="0.25">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row>
    <row r="4" spans="1:30" x14ac:dyDescent="0.25">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row>
    <row r="5" spans="1:30" x14ac:dyDescent="0.25">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row>
    <row r="6" spans="1:30" x14ac:dyDescent="0.25">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row>
    <row r="7" spans="1:30" x14ac:dyDescent="0.25">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row>
    <row r="8" spans="1:30" x14ac:dyDescent="0.25">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row>
    <row r="9" spans="1:30" x14ac:dyDescent="0.25">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row>
    <row r="10" spans="1:30" x14ac:dyDescent="0.25">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row>
    <row r="11" spans="1:30" x14ac:dyDescent="0.2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row>
    <row r="12" spans="1:30" x14ac:dyDescent="0.2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row>
    <row r="13" spans="1:30" x14ac:dyDescent="0.2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row>
    <row r="14" spans="1:30" x14ac:dyDescent="0.25">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row>
    <row r="15" spans="1:30" x14ac:dyDescent="0.2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row>
    <row r="16" spans="1:30" x14ac:dyDescent="0.2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row>
    <row r="17" spans="1:30" x14ac:dyDescent="0.2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row>
    <row r="18" spans="1:30" x14ac:dyDescent="0.2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row>
    <row r="19" spans="1:30" x14ac:dyDescent="0.2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row>
    <row r="20" spans="1:30" x14ac:dyDescent="0.2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row>
    <row r="21" spans="1:30" x14ac:dyDescent="0.2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row>
    <row r="22" spans="1:30" x14ac:dyDescent="0.2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row>
    <row r="23" spans="1:30"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row>
    <row r="24" spans="1:30"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row>
    <row r="25" spans="1:30"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row>
    <row r="26" spans="1:30"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row>
    <row r="27" spans="1:30"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row>
    <row r="28" spans="1:30"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row>
    <row r="29" spans="1:30"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row>
    <row r="30" spans="1:30"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row>
    <row r="31" spans="1:30"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row>
    <row r="32" spans="1:30"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row>
    <row r="33" spans="1:30"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row>
    <row r="34" spans="1:30"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row>
    <row r="35" spans="1:30"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row>
    <row r="36" spans="1:30"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row>
  </sheetData>
  <pageMargins left="0.7" right="0.7" top="0.75" bottom="0.75" header="0.3" footer="0.3"/>
  <drawing r:id="rId1"/>
  <extLst>
    <ext xmlns:x15="http://schemas.microsoft.com/office/spreadsheetml/2010/11/main" uri="{7E03D99C-DC04-49d9-9315-930204A7B6E9}">
      <x15:timelineRefs>
        <x15:timelineRef r:id="rId2"/>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630C5-8D1F-49CB-8EC4-C1CAC26D22C3}">
  <dimension ref="B4:F30"/>
  <sheetViews>
    <sheetView topLeftCell="A4" workbookViewId="0">
      <selection activeCell="C11" sqref="C11"/>
    </sheetView>
  </sheetViews>
  <sheetFormatPr defaultRowHeight="15" x14ac:dyDescent="0.25"/>
  <cols>
    <col min="2" max="2" width="19.7109375" bestFit="1" customWidth="1"/>
    <col min="3" max="3" width="14.85546875" bestFit="1" customWidth="1"/>
    <col min="5" max="5" width="20.5703125" bestFit="1" customWidth="1"/>
    <col min="6" max="6" width="14.85546875" bestFit="1" customWidth="1"/>
  </cols>
  <sheetData>
    <row r="4" spans="2:6" x14ac:dyDescent="0.25">
      <c r="B4" s="3" t="s">
        <v>46</v>
      </c>
      <c r="C4" t="s">
        <v>43</v>
      </c>
      <c r="E4" s="3" t="s">
        <v>47</v>
      </c>
      <c r="F4" t="s">
        <v>43</v>
      </c>
    </row>
    <row r="5" spans="2:6" x14ac:dyDescent="0.25">
      <c r="B5" s="7" t="s">
        <v>62</v>
      </c>
      <c r="C5" s="21"/>
      <c r="E5" s="7" t="s">
        <v>7</v>
      </c>
      <c r="F5" s="2">
        <v>30182.51</v>
      </c>
    </row>
    <row r="6" spans="2:6" x14ac:dyDescent="0.25">
      <c r="B6" s="26" t="s">
        <v>50</v>
      </c>
      <c r="C6" s="21">
        <v>15280.289999999997</v>
      </c>
      <c r="E6" s="7" t="s">
        <v>18</v>
      </c>
      <c r="F6" s="2">
        <v>34021.589999999989</v>
      </c>
    </row>
    <row r="7" spans="2:6" x14ac:dyDescent="0.25">
      <c r="B7" s="26" t="s">
        <v>51</v>
      </c>
      <c r="C7" s="21">
        <v>12995.180000000002</v>
      </c>
      <c r="E7" s="7" t="s">
        <v>19</v>
      </c>
      <c r="F7" s="2">
        <v>34874.46</v>
      </c>
    </row>
    <row r="8" spans="2:6" x14ac:dyDescent="0.25">
      <c r="B8" s="26" t="s">
        <v>52</v>
      </c>
      <c r="C8" s="21">
        <v>12631.39</v>
      </c>
      <c r="E8" s="7" t="s">
        <v>14</v>
      </c>
      <c r="F8" s="2">
        <v>35672.630000000005</v>
      </c>
    </row>
    <row r="9" spans="2:6" x14ac:dyDescent="0.25">
      <c r="B9" s="26" t="s">
        <v>53</v>
      </c>
      <c r="C9" s="21">
        <v>12539.980000000003</v>
      </c>
      <c r="E9" s="7" t="s">
        <v>12</v>
      </c>
      <c r="F9" s="2">
        <v>36097.710000000006</v>
      </c>
    </row>
    <row r="10" spans="2:6" x14ac:dyDescent="0.25">
      <c r="B10" s="26" t="s">
        <v>54</v>
      </c>
      <c r="C10" s="21">
        <v>11419.84</v>
      </c>
      <c r="E10" s="7" t="s">
        <v>16</v>
      </c>
      <c r="F10" s="2">
        <v>36958.49</v>
      </c>
    </row>
    <row r="11" spans="2:6" x14ac:dyDescent="0.25">
      <c r="B11" s="26" t="s">
        <v>55</v>
      </c>
      <c r="C11" s="21">
        <v>10527.57</v>
      </c>
      <c r="E11" s="7" t="s">
        <v>10</v>
      </c>
      <c r="F11" s="2">
        <v>41789.029999999984</v>
      </c>
    </row>
    <row r="12" spans="2:6" x14ac:dyDescent="0.25">
      <c r="B12" s="26" t="s">
        <v>56</v>
      </c>
      <c r="C12" s="21">
        <v>8107.7099999999982</v>
      </c>
      <c r="E12" s="7" t="s">
        <v>28</v>
      </c>
      <c r="F12" s="2">
        <v>249596.41999999998</v>
      </c>
    </row>
    <row r="13" spans="2:6" x14ac:dyDescent="0.25">
      <c r="B13" s="26" t="s">
        <v>57</v>
      </c>
      <c r="C13" s="21">
        <v>14113.2</v>
      </c>
    </row>
    <row r="14" spans="2:6" x14ac:dyDescent="0.25">
      <c r="B14" s="26" t="s">
        <v>58</v>
      </c>
      <c r="C14" s="21">
        <v>6762.8099999999995</v>
      </c>
    </row>
    <row r="15" spans="2:6" x14ac:dyDescent="0.25">
      <c r="B15" s="26" t="s">
        <v>59</v>
      </c>
      <c r="C15" s="21">
        <v>9654.76</v>
      </c>
      <c r="E15" s="3" t="s">
        <v>48</v>
      </c>
      <c r="F15" t="s">
        <v>43</v>
      </c>
    </row>
    <row r="16" spans="2:6" x14ac:dyDescent="0.25">
      <c r="B16" s="26" t="s">
        <v>60</v>
      </c>
      <c r="C16" s="21">
        <v>13147.769999999999</v>
      </c>
      <c r="E16" s="7" t="s">
        <v>15</v>
      </c>
      <c r="F16" s="2">
        <v>28717.52</v>
      </c>
    </row>
    <row r="17" spans="2:6" x14ac:dyDescent="0.25">
      <c r="B17" s="26" t="s">
        <v>61</v>
      </c>
      <c r="C17" s="21">
        <v>11683.250000000002</v>
      </c>
      <c r="E17" s="7" t="s">
        <v>17</v>
      </c>
      <c r="F17" s="2">
        <v>33948.36</v>
      </c>
    </row>
    <row r="18" spans="2:6" x14ac:dyDescent="0.25">
      <c r="B18" s="7" t="s">
        <v>63</v>
      </c>
      <c r="C18" s="21"/>
      <c r="E18" s="7" t="s">
        <v>8</v>
      </c>
      <c r="F18" s="2">
        <v>29849.239999999994</v>
      </c>
    </row>
    <row r="19" spans="2:6" x14ac:dyDescent="0.25">
      <c r="B19" s="26" t="s">
        <v>50</v>
      </c>
      <c r="C19" s="21">
        <v>9548.6900000000023</v>
      </c>
      <c r="E19" s="7" t="s">
        <v>9</v>
      </c>
      <c r="F19" s="2">
        <v>33945.929999999993</v>
      </c>
    </row>
    <row r="20" spans="2:6" x14ac:dyDescent="0.25">
      <c r="B20" s="26" t="s">
        <v>51</v>
      </c>
      <c r="C20" s="21">
        <v>8507.1499999999978</v>
      </c>
      <c r="E20" s="7" t="s">
        <v>20</v>
      </c>
      <c r="F20" s="2">
        <v>26382.750000000004</v>
      </c>
    </row>
    <row r="21" spans="2:6" x14ac:dyDescent="0.25">
      <c r="B21" s="26" t="s">
        <v>52</v>
      </c>
      <c r="C21" s="21">
        <v>12672.260000000002</v>
      </c>
      <c r="E21" s="7" t="s">
        <v>13</v>
      </c>
      <c r="F21" s="2">
        <v>29443.85999999999</v>
      </c>
    </row>
    <row r="22" spans="2:6" x14ac:dyDescent="0.25">
      <c r="B22" s="26" t="s">
        <v>53</v>
      </c>
      <c r="C22" s="21">
        <v>10256.26</v>
      </c>
      <c r="E22" s="7" t="s">
        <v>11</v>
      </c>
      <c r="F22" s="2">
        <v>34219.000000000029</v>
      </c>
    </row>
    <row r="23" spans="2:6" x14ac:dyDescent="0.25">
      <c r="B23" s="26" t="s">
        <v>54</v>
      </c>
      <c r="C23" s="21">
        <v>9022.7899999999972</v>
      </c>
      <c r="E23" s="7" t="s">
        <v>6</v>
      </c>
      <c r="F23" s="2">
        <v>33089.759999999987</v>
      </c>
    </row>
    <row r="24" spans="2:6" x14ac:dyDescent="0.25">
      <c r="B24" s="26" t="s">
        <v>55</v>
      </c>
      <c r="C24" s="21">
        <v>10770.55</v>
      </c>
      <c r="E24" s="7" t="s">
        <v>28</v>
      </c>
      <c r="F24" s="2">
        <v>249596.41999999998</v>
      </c>
    </row>
    <row r="25" spans="2:6" x14ac:dyDescent="0.25">
      <c r="B25" s="26" t="s">
        <v>56</v>
      </c>
      <c r="C25" s="21">
        <v>10907.739999999998</v>
      </c>
    </row>
    <row r="26" spans="2:6" x14ac:dyDescent="0.25">
      <c r="B26" s="26" t="s">
        <v>57</v>
      </c>
      <c r="C26" s="21">
        <v>9314.82</v>
      </c>
    </row>
    <row r="27" spans="2:6" x14ac:dyDescent="0.25">
      <c r="B27" s="26" t="s">
        <v>58</v>
      </c>
      <c r="C27" s="21">
        <v>8679.93</v>
      </c>
    </row>
    <row r="28" spans="2:6" x14ac:dyDescent="0.25">
      <c r="B28" s="26" t="s">
        <v>59</v>
      </c>
      <c r="C28" s="21">
        <v>10298.249999999998</v>
      </c>
    </row>
    <row r="29" spans="2:6" x14ac:dyDescent="0.25">
      <c r="B29" s="26" t="s">
        <v>60</v>
      </c>
      <c r="C29" s="21">
        <v>10754.230000000003</v>
      </c>
    </row>
    <row r="30" spans="2:6" x14ac:dyDescent="0.25">
      <c r="B30" s="7" t="s">
        <v>28</v>
      </c>
      <c r="C30" s="21">
        <v>249596.42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AFA86-B04C-4D69-87F3-9E461408F1BB}">
  <dimension ref="A1:AB41"/>
  <sheetViews>
    <sheetView workbookViewId="0">
      <selection activeCell="C1" sqref="C1"/>
    </sheetView>
  </sheetViews>
  <sheetFormatPr defaultRowHeight="15" x14ac:dyDescent="0.25"/>
  <sheetData>
    <row r="1" spans="1:28" x14ac:dyDescent="0.25">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row>
    <row r="2" spans="1:28" x14ac:dyDescent="0.25">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row>
    <row r="3" spans="1:28" x14ac:dyDescent="0.25">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row>
    <row r="4" spans="1:28" x14ac:dyDescent="0.25">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row>
    <row r="5" spans="1:28" x14ac:dyDescent="0.25">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row>
    <row r="6" spans="1:28" x14ac:dyDescent="0.25">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row>
    <row r="7" spans="1:28" x14ac:dyDescent="0.25">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row>
    <row r="8" spans="1:28" x14ac:dyDescent="0.25">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row>
    <row r="9" spans="1:28" x14ac:dyDescent="0.25">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row>
    <row r="10" spans="1:28" x14ac:dyDescent="0.25">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row>
    <row r="11" spans="1:28" x14ac:dyDescent="0.2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row>
    <row r="12" spans="1:28" x14ac:dyDescent="0.2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row>
    <row r="13" spans="1:28" x14ac:dyDescent="0.2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row>
    <row r="14" spans="1:28" x14ac:dyDescent="0.25">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row>
    <row r="15" spans="1:28" x14ac:dyDescent="0.2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row>
    <row r="16" spans="1:28" x14ac:dyDescent="0.2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row>
    <row r="17" spans="1:28" x14ac:dyDescent="0.2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row>
    <row r="18" spans="1:28" x14ac:dyDescent="0.2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row>
    <row r="19" spans="1:28" x14ac:dyDescent="0.2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row>
    <row r="20" spans="1:28" x14ac:dyDescent="0.2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row>
    <row r="21" spans="1:28" x14ac:dyDescent="0.2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row>
    <row r="22" spans="1:28" x14ac:dyDescent="0.2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row>
    <row r="23" spans="1:28"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row>
    <row r="24" spans="1:28"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row>
    <row r="25" spans="1:28"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row>
    <row r="26" spans="1:28"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row>
    <row r="27" spans="1:28"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row>
    <row r="28" spans="1:28"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row>
    <row r="29" spans="1:28"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row>
    <row r="30" spans="1:28"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row>
    <row r="31" spans="1:28"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row>
    <row r="32" spans="1:28"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row>
    <row r="33" spans="1:28"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row>
    <row r="34" spans="1:28"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row>
    <row r="35" spans="1:28"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row>
    <row r="36" spans="1:28"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row>
    <row r="37" spans="1:28"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row>
    <row r="38" spans="1:28"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row>
    <row r="39" spans="1:28"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row>
    <row r="40" spans="1:28"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row>
    <row r="41" spans="1:28"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202357-7440-4C69-ABF4-72748AA87D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AzeriMed_Sales_Data_1000_origin</vt:lpstr>
      <vt:lpstr>Pivot Table Loyalty</vt:lpstr>
      <vt:lpstr> Dashboard Loyalty</vt:lpstr>
      <vt:lpstr>Dashboard KPİ</vt:lpstr>
      <vt:lpstr>Pivot Table Amount</vt:lpstr>
      <vt:lpstr>Dashbard Amount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Windows User</cp:lastModifiedBy>
  <dcterms:created xsi:type="dcterms:W3CDTF">2025-12-10T17:49:17Z</dcterms:created>
  <dcterms:modified xsi:type="dcterms:W3CDTF">2025-12-15T22:00:06Z</dcterms:modified>
</cp:coreProperties>
</file>