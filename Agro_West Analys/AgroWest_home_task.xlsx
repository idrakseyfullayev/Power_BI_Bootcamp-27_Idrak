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gro_West Analys\"/>
    </mc:Choice>
  </mc:AlternateContent>
  <xr:revisionPtr revIDLastSave="0" documentId="13_ncr:1_{90D404F2-5303-49CB-9101-03EEE81FE715}" xr6:coauthVersionLast="45" xr6:coauthVersionMax="45" xr10:uidLastSave="{00000000-0000-0000-0000-000000000000}"/>
  <bookViews>
    <workbookView xWindow="-120" yWindow="-120" windowWidth="20730" windowHeight="11160" xr2:uid="{D80C2C45-ED09-4EB0-9656-FA41F8140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4" i="1"/>
  <c r="G3" i="1"/>
</calcChain>
</file>

<file path=xl/sharedStrings.xml><?xml version="1.0" encoding="utf-8"?>
<sst xmlns="http://schemas.openxmlformats.org/spreadsheetml/2006/main" count="137" uniqueCount="129">
  <si>
    <t>Plan</t>
  </si>
  <si>
    <t>KPI</t>
  </si>
  <si>
    <t>Məbləğ (AZN)</t>
  </si>
  <si>
    <t>Müqavilənin icrasına görə</t>
  </si>
  <si>
    <t>81% - 90%</t>
  </si>
  <si>
    <t>71% - 80%</t>
  </si>
  <si>
    <t>&lt; 70%</t>
  </si>
  <si>
    <t>Çeklist hədəflərinə görə</t>
  </si>
  <si>
    <t>91% - 100%</t>
  </si>
  <si>
    <t>Hədəf dövriyyəyə əsasən</t>
  </si>
  <si>
    <t>İadə limitinə görə</t>
  </si>
  <si>
    <t>&lt; 3%</t>
  </si>
  <si>
    <t>Staja görə</t>
  </si>
  <si>
    <t>&lt; 1 il</t>
  </si>
  <si>
    <t>FIX əmək haqqı</t>
  </si>
  <si>
    <t>Ad və Soyad</t>
  </si>
  <si>
    <t>Nərgiz Həsənova</t>
  </si>
  <si>
    <t>Zəhra Məmmədova</t>
  </si>
  <si>
    <t>Tural İsmayılov</t>
  </si>
  <si>
    <t>Tunar Məmmədov</t>
  </si>
  <si>
    <t>Rəşid Hacıyev</t>
  </si>
  <si>
    <t>Əli Mehdiyev</t>
  </si>
  <si>
    <t>Vüqar Həsənov</t>
  </si>
  <si>
    <t>Zəhrə Qurbanova</t>
  </si>
  <si>
    <t>Sevil Şahbazova</t>
  </si>
  <si>
    <t>Nəsrin Rəhimova</t>
  </si>
  <si>
    <t>Tural Hüseynov</t>
  </si>
  <si>
    <t>İlqar İsmayılov</t>
  </si>
  <si>
    <t>Nicat Rəhimov</t>
  </si>
  <si>
    <t>Sərxan Əbdullayev</t>
  </si>
  <si>
    <t>Sevil Quliyeva</t>
  </si>
  <si>
    <t>Sərxan Mehdiyev</t>
  </si>
  <si>
    <t>Günel Məmmədova</t>
  </si>
  <si>
    <t>Fərqanə Hacıyeva</t>
  </si>
  <si>
    <t>Tural Hacıyev</t>
  </si>
  <si>
    <t>Zəhrə Rəhimova</t>
  </si>
  <si>
    <t>Gülnar İsmayılova</t>
  </si>
  <si>
    <t>Fuad Əkbərov</t>
  </si>
  <si>
    <t>Səbinə Teymurova</t>
  </si>
  <si>
    <t>Rasim Həsənov</t>
  </si>
  <si>
    <t>Aytən Məmmədova</t>
  </si>
  <si>
    <t>Nərgiz Məmmədova</t>
  </si>
  <si>
    <t>Gülnar Məmmədova</t>
  </si>
  <si>
    <t>Leyla Kərimova</t>
  </si>
  <si>
    <t>Sami İsmayılov</t>
  </si>
  <si>
    <t>Əli Əliyev</t>
  </si>
  <si>
    <t>Zəminə Əbdullayeva</t>
  </si>
  <si>
    <t>Fərid Əliyev</t>
  </si>
  <si>
    <t>Orkhan Səfərov</t>
  </si>
  <si>
    <t>Rasim Cəfərov</t>
  </si>
  <si>
    <t>Nigar Əbdullayeva</t>
  </si>
  <si>
    <t>Fərqanə Teymurova</t>
  </si>
  <si>
    <t>Tural Əbdullayev</t>
  </si>
  <si>
    <t>Elvin Şahbazov</t>
  </si>
  <si>
    <t>Zəminə Şahbazova</t>
  </si>
  <si>
    <t>Nəsrin İsmayılova</t>
  </si>
  <si>
    <t>Nicat Abasov</t>
  </si>
  <si>
    <t>Eldar Əbdullayev</t>
  </si>
  <si>
    <t>Aynur Əbdullayeva</t>
  </si>
  <si>
    <t>Zəminə Mehdiyeva</t>
  </si>
  <si>
    <t>Nəsrin Şahbazova</t>
  </si>
  <si>
    <t>Zəhra Kərimova</t>
  </si>
  <si>
    <t>Sərxan Abasov</t>
  </si>
  <si>
    <t>Səbinə Cəfərova</t>
  </si>
  <si>
    <t>Fərqanə Qurbanova</t>
  </si>
  <si>
    <t>Rəşid Məmmədov</t>
  </si>
  <si>
    <t>Kamran Məmmədov</t>
  </si>
  <si>
    <t>Rəşad Əkbərov</t>
  </si>
  <si>
    <t>Aytən Cəfərova</t>
  </si>
  <si>
    <t>Fərqanə Səfərova</t>
  </si>
  <si>
    <t>Əli Səfərov</t>
  </si>
  <si>
    <t>Əli Məmmədov</t>
  </si>
  <si>
    <t>Günel Teymurova</t>
  </si>
  <si>
    <t>İlhamə Səfərova</t>
  </si>
  <si>
    <t>Səriya Mehdiyeva</t>
  </si>
  <si>
    <t>Tunar Quliyev</t>
  </si>
  <si>
    <t>Zəhrə Əkbərova</t>
  </si>
  <si>
    <t>Elvin Kərimov</t>
  </si>
  <si>
    <t>Günel Hüseynova</t>
  </si>
  <si>
    <t>Aynur Quliyeva</t>
  </si>
  <si>
    <t>Nərgiz Şahbazova</t>
  </si>
  <si>
    <t>Nicat Səfərov</t>
  </si>
  <si>
    <t>Eldar Səfərov</t>
  </si>
  <si>
    <t>Nərgiz İsmayılova</t>
  </si>
  <si>
    <t>Nicat Əkbərov</t>
  </si>
  <si>
    <t>Tural Kərimov</t>
  </si>
  <si>
    <t>Xədicə Quliyeva</t>
  </si>
  <si>
    <t>Elvin Rəhimov</t>
  </si>
  <si>
    <t>Səriya Məmmədova</t>
  </si>
  <si>
    <t>Xədicə Fərhadova</t>
  </si>
  <si>
    <t>Əli Hüseynov</t>
  </si>
  <si>
    <t>Zəhrə Cəfərova</t>
  </si>
  <si>
    <t>Orkhan Quliyev</t>
  </si>
  <si>
    <t>Aydın Nagayev</t>
  </si>
  <si>
    <t>Cavid Şahbazov</t>
  </si>
  <si>
    <t>Rəşid Mehdiyev</t>
  </si>
  <si>
    <t>Leyla Mehdiyeva</t>
  </si>
  <si>
    <t>Nicat Hacıyev</t>
  </si>
  <si>
    <t>İlqar Əbdullayev</t>
  </si>
  <si>
    <t>Rafael Əkbərov</t>
  </si>
  <si>
    <t>Kamran Qurbanov</t>
  </si>
  <si>
    <t>Əli Əkbərov</t>
  </si>
  <si>
    <t>Rəşad Əliyev</t>
  </si>
  <si>
    <t>Leyla Əliyeva</t>
  </si>
  <si>
    <t>Elvin Cəfərov</t>
  </si>
  <si>
    <t>Rəşad İsmayılov</t>
  </si>
  <si>
    <t>Aytən Hüseynova</t>
  </si>
  <si>
    <t>Rauf Rəhimov</t>
  </si>
  <si>
    <t>Aytən Şahbazova</t>
  </si>
  <si>
    <t>Samir Abasov</t>
  </si>
  <si>
    <t>Nuray Mehdiyeva</t>
  </si>
  <si>
    <t>Rəşad Şahbazov</t>
  </si>
  <si>
    <t>İlhamə Hacıyeva</t>
  </si>
  <si>
    <t>Rafael Səfərov</t>
  </si>
  <si>
    <t>Tural Abasov</t>
  </si>
  <si>
    <t>Xədicə Qurbanova</t>
  </si>
  <si>
    <t>3.1% - 4%</t>
  </si>
  <si>
    <t xml:space="preserve">&gt; 91% </t>
  </si>
  <si>
    <t>&gt; 4%</t>
  </si>
  <si>
    <t>&gt; 2 il</t>
  </si>
  <si>
    <t>1 il - 2 il</t>
  </si>
  <si>
    <t>Müqavilənin icrasına görə %</t>
  </si>
  <si>
    <t>Çeklist hədəflərinə görə %</t>
  </si>
  <si>
    <t>Hədəf dövriyyəyə əsasən %</t>
  </si>
  <si>
    <t>İadə limitinə görə %</t>
  </si>
  <si>
    <t>Staja görə (il)</t>
  </si>
  <si>
    <t xml:space="preserve">Maaş </t>
  </si>
  <si>
    <t>1-ci üsul (İF)</t>
  </si>
  <si>
    <t>2-ci üsul (İFS)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</si>
</sst>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1" fillId="3" borderId="18" xfId="2" applyBorder="1" applyAlignment="1">
      <alignment horizontal="center" vertical="center" wrapText="1"/>
    </xf>
    <xf numFmtId="0" fontId="1" fillId="3" borderId="19" xfId="2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1" fillId="2" borderId="16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14" xfId="2" applyBorder="1" applyAlignment="1">
      <alignment horizontal="center" vertical="center"/>
    </xf>
    <xf numFmtId="0" fontId="1" fillId="3" borderId="17" xfId="2" applyBorder="1" applyAlignment="1">
      <alignment horizontal="center" vertical="center"/>
    </xf>
    <xf numFmtId="0" fontId="1" fillId="3" borderId="15" xfId="2" applyBorder="1" applyAlignment="1">
      <alignment horizontal="center" vertical="center" wrapText="1"/>
    </xf>
    <xf numFmtId="0" fontId="1" fillId="3" borderId="18" xfId="2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3">
    <cellStyle name="20% - Accent2" xfId="1" builtinId="34"/>
    <cellStyle name="20% - Accent5" xfId="2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689A-5C3C-4771-8C32-D70652094ADC}">
  <dimension ref="A1:L102"/>
  <sheetViews>
    <sheetView tabSelected="1" workbookViewId="0">
      <selection activeCell="N7" sqref="N7"/>
    </sheetView>
  </sheetViews>
  <sheetFormatPr defaultRowHeight="15" x14ac:dyDescent="0.25"/>
  <cols>
    <col min="1" max="1" width="19.28515625" style="10" bestFit="1" customWidth="1"/>
    <col min="2" max="2" width="15.140625" customWidth="1"/>
    <col min="3" max="3" width="14.7109375" customWidth="1"/>
    <col min="4" max="4" width="15.140625" customWidth="1"/>
    <col min="10" max="10" width="23.7109375" bestFit="1" customWidth="1"/>
    <col min="11" max="11" width="10.7109375" bestFit="1" customWidth="1"/>
    <col min="12" max="13" width="13.140625" bestFit="1" customWidth="1"/>
  </cols>
  <sheetData>
    <row r="1" spans="1:12" ht="26.25" customHeight="1" x14ac:dyDescent="0.25">
      <c r="A1" s="22" t="s">
        <v>15</v>
      </c>
      <c r="B1" s="24" t="s">
        <v>121</v>
      </c>
      <c r="C1" s="24" t="s">
        <v>122</v>
      </c>
      <c r="D1" s="24" t="s">
        <v>123</v>
      </c>
      <c r="E1" s="24" t="s">
        <v>124</v>
      </c>
      <c r="F1" s="24" t="s">
        <v>125</v>
      </c>
      <c r="G1" s="17" t="s">
        <v>127</v>
      </c>
      <c r="H1" s="18" t="s">
        <v>128</v>
      </c>
      <c r="J1" s="26" t="s">
        <v>0</v>
      </c>
      <c r="K1" s="26" t="s">
        <v>1</v>
      </c>
      <c r="L1" s="28" t="s">
        <v>2</v>
      </c>
    </row>
    <row r="2" spans="1:12" ht="18" customHeight="1" thickBot="1" x14ac:dyDescent="0.3">
      <c r="A2" s="23"/>
      <c r="B2" s="25"/>
      <c r="C2" s="25"/>
      <c r="D2" s="25"/>
      <c r="E2" s="25"/>
      <c r="F2" s="25"/>
      <c r="G2" s="15" t="s">
        <v>126</v>
      </c>
      <c r="H2" s="16" t="s">
        <v>126</v>
      </c>
      <c r="J2" s="27"/>
      <c r="K2" s="27"/>
      <c r="L2" s="29"/>
    </row>
    <row r="3" spans="1:12" x14ac:dyDescent="0.25">
      <c r="A3" s="13" t="s">
        <v>16</v>
      </c>
      <c r="B3" s="14">
        <v>57</v>
      </c>
      <c r="C3" s="14">
        <v>68</v>
      </c>
      <c r="D3" s="14">
        <v>90</v>
      </c>
      <c r="E3" s="14">
        <v>4</v>
      </c>
      <c r="F3" s="14">
        <v>7</v>
      </c>
      <c r="G3" s="14">
        <f>350
+ IF(B3&gt;91, 100, IF(B3&gt;=81, 75, IF(B3&gt;=71, 50, 25)))
+ IF(C3&gt;90, 150, IF(C3&gt;=81, 125, IF(C3&gt;71, 100, 75)))
+ IF(D3&gt;90, 100, IF(D3&gt;=81, 75, IF(D3&gt;=71, 50, 25)))
+ IF(E3&gt;4, 0, IF(E3&gt;=3.1, 25, 50))
+ IF(F3&gt;2, 50, IF(F3&gt;=1, 25, 0))</f>
        <v>600</v>
      </c>
      <c r="H3" s="14">
        <f>350
+ _xlfn.IFS(B3&gt;91, 100, B3&gt;=81, 75, B3&gt;=71, 50, TRUE, 25)
+ _xlfn.IFS(C3&gt;90, 150, C3&gt;=81, 125, C3&gt;=71, 100, TRUE, 75)
+ _xlfn.IFS(D3&gt;90, 100, D3&gt;=81, 75, D3&gt;=71, 50, TRUE, 25)
+ _xlfn.IFS(F3&gt;2, 50, F3&gt;=1, 25, TRUE, 0)
+ _xlfn.IFS(E3&gt;4, 0, E3&gt;=3.1, 25, TRUE, 50)</f>
        <v>600</v>
      </c>
      <c r="J3" s="19" t="s">
        <v>3</v>
      </c>
      <c r="K3" s="1" t="s">
        <v>117</v>
      </c>
      <c r="L3" s="6">
        <v>100</v>
      </c>
    </row>
    <row r="4" spans="1:12" x14ac:dyDescent="0.25">
      <c r="A4" s="11" t="s">
        <v>17</v>
      </c>
      <c r="B4" s="12">
        <v>56</v>
      </c>
      <c r="C4" s="12">
        <v>72</v>
      </c>
      <c r="D4" s="12">
        <v>100</v>
      </c>
      <c r="E4" s="12">
        <v>3</v>
      </c>
      <c r="F4" s="12">
        <v>6.4</v>
      </c>
      <c r="G4" s="12">
        <f>350
+ IF(B4&gt;91, 100, IF(B4&gt;=81, 75, IF(B4&gt;=71, 50, 25)))
+ IF(C4&gt;90, 150, IF(C4&gt;=81, 125, IF(C4&gt;71, 100, 75)))
+ IF(D4&gt;90, 100, IF(D4&gt;=81, 75, IF(D4&gt;=71, 50, 25)))
+ IF(E4&gt;4, 0, IF(E4&gt;=3.1, 25, 50))
+ IF(F4&gt;2, 50, IF(F4&gt;=1, 25, 0))</f>
        <v>675</v>
      </c>
      <c r="H4" s="14">
        <f t="shared" ref="H4:H67" si="0">350
+ _xlfn.IFS(B4&gt;91, 100, B4&gt;=81, 75, B4&gt;=71, 50, TRUE, 25)
+ _xlfn.IFS(C4&gt;90, 150, C4&gt;=81, 125, C4&gt;=71, 100, TRUE, 75)
+ _xlfn.IFS(D4&gt;90, 100, D4&gt;=81, 75, D4&gt;=71, 50, TRUE, 25)
+ _xlfn.IFS(F4&gt;2, 50, F4&gt;=1, 25, TRUE, 0)
+ _xlfn.IFS(E4&gt;4, 0, E4&gt;=3.1, 25, TRUE, 50)</f>
        <v>675</v>
      </c>
      <c r="J4" s="20"/>
      <c r="K4" s="2" t="s">
        <v>4</v>
      </c>
      <c r="L4" s="7">
        <v>75</v>
      </c>
    </row>
    <row r="5" spans="1:12" x14ac:dyDescent="0.25">
      <c r="A5" s="11" t="s">
        <v>18</v>
      </c>
      <c r="B5" s="12">
        <v>80</v>
      </c>
      <c r="C5" s="12">
        <v>95</v>
      </c>
      <c r="D5" s="12">
        <v>54</v>
      </c>
      <c r="E5" s="12">
        <v>2</v>
      </c>
      <c r="F5" s="12">
        <v>0.1</v>
      </c>
      <c r="G5" s="12">
        <f t="shared" ref="G5:G68" si="1">350
+ IF(B5&gt;91, 100, IF(B5&gt;=81, 75, IF(B5&gt;=71, 50, 25)))
+ IF(C5&gt;90, 150, IF(C5&gt;=81, 125, IF(C5&gt;71, 100, 75)))
+ IF(D5&gt;90, 100, IF(D5&gt;=81, 75, IF(D5&gt;=71, 50, 25)))
+ IF(E5&gt;4, 0, IF(E5&gt;=3.1, 25, 50))
+ IF(F5&gt;2, 50, IF(F5&gt;=1, 25, 0))</f>
        <v>625</v>
      </c>
      <c r="H5" s="14">
        <f t="shared" si="0"/>
        <v>625</v>
      </c>
      <c r="J5" s="20"/>
      <c r="K5" s="2" t="s">
        <v>5</v>
      </c>
      <c r="L5" s="7">
        <v>50</v>
      </c>
    </row>
    <row r="6" spans="1:12" ht="15.75" thickBot="1" x14ac:dyDescent="0.3">
      <c r="A6" s="11" t="s">
        <v>19</v>
      </c>
      <c r="B6" s="12">
        <v>76</v>
      </c>
      <c r="C6" s="12">
        <v>99</v>
      </c>
      <c r="D6" s="12">
        <v>72</v>
      </c>
      <c r="E6" s="12">
        <v>6</v>
      </c>
      <c r="F6" s="12">
        <v>0.2</v>
      </c>
      <c r="G6" s="12">
        <f t="shared" si="1"/>
        <v>600</v>
      </c>
      <c r="H6" s="14">
        <f t="shared" si="0"/>
        <v>600</v>
      </c>
      <c r="J6" s="21"/>
      <c r="K6" s="3" t="s">
        <v>6</v>
      </c>
      <c r="L6" s="8">
        <v>25</v>
      </c>
    </row>
    <row r="7" spans="1:12" x14ac:dyDescent="0.25">
      <c r="A7" s="11" t="s">
        <v>20</v>
      </c>
      <c r="B7" s="12">
        <v>61</v>
      </c>
      <c r="C7" s="12">
        <v>100</v>
      </c>
      <c r="D7" s="12">
        <v>91</v>
      </c>
      <c r="E7" s="12">
        <v>4</v>
      </c>
      <c r="F7" s="12">
        <v>2.1</v>
      </c>
      <c r="G7" s="12">
        <f t="shared" si="1"/>
        <v>700</v>
      </c>
      <c r="H7" s="14">
        <f t="shared" si="0"/>
        <v>700</v>
      </c>
      <c r="J7" s="19" t="s">
        <v>7</v>
      </c>
      <c r="K7" s="4" t="s">
        <v>8</v>
      </c>
      <c r="L7" s="6">
        <v>150</v>
      </c>
    </row>
    <row r="8" spans="1:12" x14ac:dyDescent="0.25">
      <c r="A8" s="11" t="s">
        <v>21</v>
      </c>
      <c r="B8" s="12">
        <v>73</v>
      </c>
      <c r="C8" s="12">
        <v>64</v>
      </c>
      <c r="D8" s="12">
        <v>58</v>
      </c>
      <c r="E8" s="12">
        <v>2</v>
      </c>
      <c r="F8" s="12">
        <v>2.7</v>
      </c>
      <c r="G8" s="12">
        <f t="shared" si="1"/>
        <v>600</v>
      </c>
      <c r="H8" s="14">
        <f t="shared" si="0"/>
        <v>600</v>
      </c>
      <c r="J8" s="20"/>
      <c r="K8" s="2" t="s">
        <v>4</v>
      </c>
      <c r="L8" s="7">
        <v>125</v>
      </c>
    </row>
    <row r="9" spans="1:12" x14ac:dyDescent="0.25">
      <c r="A9" s="11" t="s">
        <v>22</v>
      </c>
      <c r="B9" s="12">
        <v>73</v>
      </c>
      <c r="C9" s="12">
        <v>99</v>
      </c>
      <c r="D9" s="12">
        <v>54</v>
      </c>
      <c r="E9" s="12">
        <v>2</v>
      </c>
      <c r="F9" s="12">
        <v>0.6</v>
      </c>
      <c r="G9" s="12">
        <f t="shared" si="1"/>
        <v>625</v>
      </c>
      <c r="H9" s="14">
        <f t="shared" si="0"/>
        <v>625</v>
      </c>
      <c r="J9" s="20"/>
      <c r="K9" s="2" t="s">
        <v>5</v>
      </c>
      <c r="L9" s="7">
        <v>100</v>
      </c>
    </row>
    <row r="10" spans="1:12" ht="15.75" thickBot="1" x14ac:dyDescent="0.3">
      <c r="A10" s="11" t="s">
        <v>23</v>
      </c>
      <c r="B10" s="12">
        <v>95</v>
      </c>
      <c r="C10" s="12">
        <v>65</v>
      </c>
      <c r="D10" s="12">
        <v>79</v>
      </c>
      <c r="E10" s="12">
        <v>1</v>
      </c>
      <c r="F10" s="12">
        <v>6.2</v>
      </c>
      <c r="G10" s="12">
        <f t="shared" si="1"/>
        <v>675</v>
      </c>
      <c r="H10" s="14">
        <f t="shared" si="0"/>
        <v>675</v>
      </c>
      <c r="J10" s="21"/>
      <c r="K10" s="3" t="s">
        <v>6</v>
      </c>
      <c r="L10" s="8">
        <v>75</v>
      </c>
    </row>
    <row r="11" spans="1:12" x14ac:dyDescent="0.25">
      <c r="A11" s="11" t="s">
        <v>24</v>
      </c>
      <c r="B11" s="12">
        <v>83</v>
      </c>
      <c r="C11" s="12">
        <v>80</v>
      </c>
      <c r="D11" s="12">
        <v>56</v>
      </c>
      <c r="E11" s="12">
        <v>5</v>
      </c>
      <c r="F11" s="12">
        <v>0.3</v>
      </c>
      <c r="G11" s="12">
        <f t="shared" si="1"/>
        <v>550</v>
      </c>
      <c r="H11" s="14">
        <f t="shared" si="0"/>
        <v>550</v>
      </c>
      <c r="J11" s="19" t="s">
        <v>9</v>
      </c>
      <c r="K11" s="4" t="s">
        <v>8</v>
      </c>
      <c r="L11" s="6">
        <v>100</v>
      </c>
    </row>
    <row r="12" spans="1:12" x14ac:dyDescent="0.25">
      <c r="A12" s="11" t="s">
        <v>25</v>
      </c>
      <c r="B12" s="12">
        <v>63</v>
      </c>
      <c r="C12" s="12">
        <v>59</v>
      </c>
      <c r="D12" s="12">
        <v>90</v>
      </c>
      <c r="E12" s="12">
        <v>2</v>
      </c>
      <c r="F12" s="12">
        <v>1.2</v>
      </c>
      <c r="G12" s="12">
        <f t="shared" si="1"/>
        <v>600</v>
      </c>
      <c r="H12" s="14">
        <f t="shared" si="0"/>
        <v>600</v>
      </c>
      <c r="J12" s="20"/>
      <c r="K12" s="2" t="s">
        <v>4</v>
      </c>
      <c r="L12" s="7">
        <v>75</v>
      </c>
    </row>
    <row r="13" spans="1:12" x14ac:dyDescent="0.25">
      <c r="A13" s="11" t="s">
        <v>26</v>
      </c>
      <c r="B13" s="12">
        <v>64</v>
      </c>
      <c r="C13" s="12">
        <v>87</v>
      </c>
      <c r="D13" s="12">
        <v>68</v>
      </c>
      <c r="E13" s="12">
        <v>4</v>
      </c>
      <c r="F13" s="12">
        <v>9.6</v>
      </c>
      <c r="G13" s="12">
        <f t="shared" si="1"/>
        <v>600</v>
      </c>
      <c r="H13" s="14">
        <f t="shared" si="0"/>
        <v>600</v>
      </c>
      <c r="J13" s="20"/>
      <c r="K13" s="2" t="s">
        <v>5</v>
      </c>
      <c r="L13" s="7">
        <v>50</v>
      </c>
    </row>
    <row r="14" spans="1:12" ht="15.75" thickBot="1" x14ac:dyDescent="0.3">
      <c r="A14" s="11" t="s">
        <v>27</v>
      </c>
      <c r="B14" s="12">
        <v>97</v>
      </c>
      <c r="C14" s="12">
        <v>77</v>
      </c>
      <c r="D14" s="12">
        <v>73</v>
      </c>
      <c r="E14" s="12">
        <v>6</v>
      </c>
      <c r="F14" s="12">
        <v>9.1999999999999993</v>
      </c>
      <c r="G14" s="12">
        <f t="shared" si="1"/>
        <v>650</v>
      </c>
      <c r="H14" s="14">
        <f t="shared" si="0"/>
        <v>650</v>
      </c>
      <c r="J14" s="21"/>
      <c r="K14" s="3" t="s">
        <v>6</v>
      </c>
      <c r="L14" s="8">
        <v>25</v>
      </c>
    </row>
    <row r="15" spans="1:12" x14ac:dyDescent="0.25">
      <c r="A15" s="11" t="s">
        <v>28</v>
      </c>
      <c r="B15" s="12">
        <v>84</v>
      </c>
      <c r="C15" s="12">
        <v>55</v>
      </c>
      <c r="D15" s="12">
        <v>64</v>
      </c>
      <c r="E15" s="12">
        <v>2</v>
      </c>
      <c r="F15" s="12">
        <v>9.5</v>
      </c>
      <c r="G15" s="12">
        <f t="shared" si="1"/>
        <v>625</v>
      </c>
      <c r="H15" s="14">
        <f t="shared" si="0"/>
        <v>625</v>
      </c>
      <c r="J15" s="19" t="s">
        <v>10</v>
      </c>
      <c r="K15" s="4" t="s">
        <v>11</v>
      </c>
      <c r="L15" s="6">
        <v>50</v>
      </c>
    </row>
    <row r="16" spans="1:12" x14ac:dyDescent="0.25">
      <c r="A16" s="11" t="s">
        <v>29</v>
      </c>
      <c r="B16" s="12">
        <v>64</v>
      </c>
      <c r="C16" s="12">
        <v>63</v>
      </c>
      <c r="D16" s="12">
        <v>80</v>
      </c>
      <c r="E16" s="12">
        <v>2</v>
      </c>
      <c r="F16" s="12">
        <v>0.6</v>
      </c>
      <c r="G16" s="12">
        <f t="shared" si="1"/>
        <v>550</v>
      </c>
      <c r="H16" s="14">
        <f t="shared" si="0"/>
        <v>550</v>
      </c>
      <c r="J16" s="20"/>
      <c r="K16" s="2" t="s">
        <v>116</v>
      </c>
      <c r="L16" s="7">
        <v>25</v>
      </c>
    </row>
    <row r="17" spans="1:12" ht="15.75" thickBot="1" x14ac:dyDescent="0.3">
      <c r="A17" s="11" t="s">
        <v>30</v>
      </c>
      <c r="B17" s="12">
        <v>99</v>
      </c>
      <c r="C17" s="12">
        <v>51</v>
      </c>
      <c r="D17" s="12">
        <v>61</v>
      </c>
      <c r="E17" s="12">
        <v>6</v>
      </c>
      <c r="F17" s="12">
        <v>7</v>
      </c>
      <c r="G17" s="12">
        <f t="shared" si="1"/>
        <v>600</v>
      </c>
      <c r="H17" s="14">
        <f t="shared" si="0"/>
        <v>600</v>
      </c>
      <c r="J17" s="21"/>
      <c r="K17" s="3" t="s">
        <v>118</v>
      </c>
      <c r="L17" s="8">
        <v>0</v>
      </c>
    </row>
    <row r="18" spans="1:12" x14ac:dyDescent="0.25">
      <c r="A18" s="11" t="s">
        <v>31</v>
      </c>
      <c r="B18" s="12">
        <v>85</v>
      </c>
      <c r="C18" s="12">
        <v>94</v>
      </c>
      <c r="D18" s="12">
        <v>50</v>
      </c>
      <c r="E18" s="12">
        <v>6</v>
      </c>
      <c r="F18" s="12">
        <v>6.9</v>
      </c>
      <c r="G18" s="12">
        <f t="shared" si="1"/>
        <v>650</v>
      </c>
      <c r="H18" s="14">
        <f t="shared" si="0"/>
        <v>650</v>
      </c>
      <c r="J18" s="19" t="s">
        <v>12</v>
      </c>
      <c r="K18" s="1" t="s">
        <v>119</v>
      </c>
      <c r="L18" s="6">
        <v>50</v>
      </c>
    </row>
    <row r="19" spans="1:12" x14ac:dyDescent="0.25">
      <c r="A19" s="11" t="s">
        <v>32</v>
      </c>
      <c r="B19" s="12">
        <v>86</v>
      </c>
      <c r="C19" s="12">
        <v>59</v>
      </c>
      <c r="D19" s="12">
        <v>92</v>
      </c>
      <c r="E19" s="12">
        <v>4</v>
      </c>
      <c r="F19" s="12">
        <v>9</v>
      </c>
      <c r="G19" s="12">
        <f t="shared" si="1"/>
        <v>675</v>
      </c>
      <c r="H19" s="14">
        <f t="shared" si="0"/>
        <v>675</v>
      </c>
      <c r="J19" s="20"/>
      <c r="K19" s="2" t="s">
        <v>120</v>
      </c>
      <c r="L19" s="7">
        <v>25</v>
      </c>
    </row>
    <row r="20" spans="1:12" ht="15.75" thickBot="1" x14ac:dyDescent="0.3">
      <c r="A20" s="11" t="s">
        <v>33</v>
      </c>
      <c r="B20" s="12">
        <v>53</v>
      </c>
      <c r="C20" s="12">
        <v>61</v>
      </c>
      <c r="D20" s="12">
        <v>83</v>
      </c>
      <c r="E20" s="12">
        <v>2</v>
      </c>
      <c r="F20" s="12">
        <v>1.1000000000000001</v>
      </c>
      <c r="G20" s="12">
        <f t="shared" si="1"/>
        <v>600</v>
      </c>
      <c r="H20" s="14">
        <f t="shared" si="0"/>
        <v>600</v>
      </c>
      <c r="J20" s="21"/>
      <c r="K20" s="3" t="s">
        <v>13</v>
      </c>
      <c r="L20" s="8">
        <v>0</v>
      </c>
    </row>
    <row r="21" spans="1:12" ht="15.75" thickBot="1" x14ac:dyDescent="0.3">
      <c r="A21" s="11" t="s">
        <v>34</v>
      </c>
      <c r="B21" s="12">
        <v>53</v>
      </c>
      <c r="C21" s="12">
        <v>71</v>
      </c>
      <c r="D21" s="12">
        <v>77</v>
      </c>
      <c r="E21" s="12">
        <v>2</v>
      </c>
      <c r="F21" s="12">
        <v>5</v>
      </c>
      <c r="G21" s="12">
        <f t="shared" si="1"/>
        <v>600</v>
      </c>
      <c r="H21" s="14">
        <f t="shared" si="0"/>
        <v>625</v>
      </c>
      <c r="J21" s="5" t="s">
        <v>14</v>
      </c>
      <c r="K21" s="5"/>
      <c r="L21" s="9">
        <v>350</v>
      </c>
    </row>
    <row r="22" spans="1:12" x14ac:dyDescent="0.25">
      <c r="A22" s="11" t="s">
        <v>35</v>
      </c>
      <c r="B22" s="12">
        <v>78</v>
      </c>
      <c r="C22" s="12">
        <v>74</v>
      </c>
      <c r="D22" s="12">
        <v>96</v>
      </c>
      <c r="E22" s="12">
        <v>3</v>
      </c>
      <c r="F22" s="12">
        <v>9.1</v>
      </c>
      <c r="G22" s="12">
        <f t="shared" si="1"/>
        <v>700</v>
      </c>
      <c r="H22" s="14">
        <f t="shared" si="0"/>
        <v>700</v>
      </c>
    </row>
    <row r="23" spans="1:12" x14ac:dyDescent="0.25">
      <c r="A23" s="11" t="s">
        <v>36</v>
      </c>
      <c r="B23" s="12">
        <v>87</v>
      </c>
      <c r="C23" s="12">
        <v>67</v>
      </c>
      <c r="D23" s="12">
        <v>68</v>
      </c>
      <c r="E23" s="12">
        <v>1</v>
      </c>
      <c r="F23" s="12">
        <v>1.7</v>
      </c>
      <c r="G23" s="12">
        <f t="shared" si="1"/>
        <v>600</v>
      </c>
      <c r="H23" s="14">
        <f t="shared" si="0"/>
        <v>600</v>
      </c>
    </row>
    <row r="24" spans="1:12" x14ac:dyDescent="0.25">
      <c r="A24" s="11" t="s">
        <v>37</v>
      </c>
      <c r="B24" s="12">
        <v>82</v>
      </c>
      <c r="C24" s="12">
        <v>79</v>
      </c>
      <c r="D24" s="12">
        <v>98</v>
      </c>
      <c r="E24" s="12">
        <v>3</v>
      </c>
      <c r="F24" s="12">
        <v>3.8</v>
      </c>
      <c r="G24" s="12">
        <f t="shared" si="1"/>
        <v>725</v>
      </c>
      <c r="H24" s="14">
        <f t="shared" si="0"/>
        <v>725</v>
      </c>
    </row>
    <row r="25" spans="1:12" x14ac:dyDescent="0.25">
      <c r="A25" s="11" t="s">
        <v>38</v>
      </c>
      <c r="B25" s="12">
        <v>79</v>
      </c>
      <c r="C25" s="12">
        <v>95</v>
      </c>
      <c r="D25" s="12">
        <v>98</v>
      </c>
      <c r="E25" s="12">
        <v>5</v>
      </c>
      <c r="F25" s="12">
        <v>4.0999999999999996</v>
      </c>
      <c r="G25" s="12">
        <f t="shared" si="1"/>
        <v>700</v>
      </c>
      <c r="H25" s="14">
        <f t="shared" si="0"/>
        <v>700</v>
      </c>
    </row>
    <row r="26" spans="1:12" x14ac:dyDescent="0.25">
      <c r="A26" s="11" t="s">
        <v>39</v>
      </c>
      <c r="B26" s="12">
        <v>76</v>
      </c>
      <c r="C26" s="12">
        <v>72</v>
      </c>
      <c r="D26" s="12">
        <v>76</v>
      </c>
      <c r="E26" s="12">
        <v>4</v>
      </c>
      <c r="F26" s="12">
        <v>4.9000000000000004</v>
      </c>
      <c r="G26" s="12">
        <f t="shared" si="1"/>
        <v>625</v>
      </c>
      <c r="H26" s="14">
        <f t="shared" si="0"/>
        <v>625</v>
      </c>
    </row>
    <row r="27" spans="1:12" x14ac:dyDescent="0.25">
      <c r="A27" s="11" t="s">
        <v>40</v>
      </c>
      <c r="B27" s="12">
        <v>61</v>
      </c>
      <c r="C27" s="12">
        <v>55</v>
      </c>
      <c r="D27" s="12">
        <v>85</v>
      </c>
      <c r="E27" s="12">
        <v>2</v>
      </c>
      <c r="F27" s="12">
        <v>9.6999999999999993</v>
      </c>
      <c r="G27" s="12">
        <f t="shared" si="1"/>
        <v>625</v>
      </c>
      <c r="H27" s="14">
        <f t="shared" si="0"/>
        <v>625</v>
      </c>
    </row>
    <row r="28" spans="1:12" x14ac:dyDescent="0.25">
      <c r="A28" s="11" t="s">
        <v>41</v>
      </c>
      <c r="B28" s="12">
        <v>98</v>
      </c>
      <c r="C28" s="12">
        <v>84</v>
      </c>
      <c r="D28" s="12">
        <v>74</v>
      </c>
      <c r="E28" s="12">
        <v>4</v>
      </c>
      <c r="F28" s="12">
        <v>2.5</v>
      </c>
      <c r="G28" s="12">
        <f t="shared" si="1"/>
        <v>700</v>
      </c>
      <c r="H28" s="14">
        <f t="shared" si="0"/>
        <v>700</v>
      </c>
    </row>
    <row r="29" spans="1:12" x14ac:dyDescent="0.25">
      <c r="A29" s="11" t="s">
        <v>42</v>
      </c>
      <c r="B29" s="12">
        <v>71</v>
      </c>
      <c r="C29" s="12">
        <v>59</v>
      </c>
      <c r="D29" s="12">
        <v>73</v>
      </c>
      <c r="E29" s="12">
        <v>2</v>
      </c>
      <c r="F29" s="12">
        <v>3.6</v>
      </c>
      <c r="G29" s="12">
        <f t="shared" si="1"/>
        <v>625</v>
      </c>
      <c r="H29" s="14">
        <f t="shared" si="0"/>
        <v>625</v>
      </c>
    </row>
    <row r="30" spans="1:12" x14ac:dyDescent="0.25">
      <c r="A30" s="11" t="s">
        <v>43</v>
      </c>
      <c r="B30" s="12">
        <v>69</v>
      </c>
      <c r="C30" s="12">
        <v>99</v>
      </c>
      <c r="D30" s="12">
        <v>76</v>
      </c>
      <c r="E30" s="12">
        <v>1</v>
      </c>
      <c r="F30" s="12">
        <v>4.4000000000000004</v>
      </c>
      <c r="G30" s="12">
        <f t="shared" si="1"/>
        <v>675</v>
      </c>
      <c r="H30" s="14">
        <f t="shared" si="0"/>
        <v>675</v>
      </c>
    </row>
    <row r="31" spans="1:12" x14ac:dyDescent="0.25">
      <c r="A31" s="11" t="s">
        <v>44</v>
      </c>
      <c r="B31" s="12">
        <v>59</v>
      </c>
      <c r="C31" s="12">
        <v>88</v>
      </c>
      <c r="D31" s="12">
        <v>52</v>
      </c>
      <c r="E31" s="12">
        <v>6</v>
      </c>
      <c r="F31" s="12">
        <v>5.3</v>
      </c>
      <c r="G31" s="12">
        <f t="shared" si="1"/>
        <v>575</v>
      </c>
      <c r="H31" s="14">
        <f t="shared" si="0"/>
        <v>575</v>
      </c>
    </row>
    <row r="32" spans="1:12" x14ac:dyDescent="0.25">
      <c r="A32" s="11" t="s">
        <v>45</v>
      </c>
      <c r="B32" s="12">
        <v>65</v>
      </c>
      <c r="C32" s="12">
        <v>88</v>
      </c>
      <c r="D32" s="12">
        <v>76</v>
      </c>
      <c r="E32" s="12">
        <v>2</v>
      </c>
      <c r="F32" s="12">
        <v>4.8</v>
      </c>
      <c r="G32" s="12">
        <f t="shared" si="1"/>
        <v>650</v>
      </c>
      <c r="H32" s="14">
        <f t="shared" si="0"/>
        <v>650</v>
      </c>
    </row>
    <row r="33" spans="1:8" x14ac:dyDescent="0.25">
      <c r="A33" s="11" t="s">
        <v>46</v>
      </c>
      <c r="B33" s="12">
        <v>76</v>
      </c>
      <c r="C33" s="12">
        <v>76</v>
      </c>
      <c r="D33" s="12">
        <v>96</v>
      </c>
      <c r="E33" s="12">
        <v>5</v>
      </c>
      <c r="F33" s="12">
        <v>0.3</v>
      </c>
      <c r="G33" s="12">
        <f t="shared" si="1"/>
        <v>600</v>
      </c>
      <c r="H33" s="14">
        <f t="shared" si="0"/>
        <v>600</v>
      </c>
    </row>
    <row r="34" spans="1:8" x14ac:dyDescent="0.25">
      <c r="A34" s="11" t="s">
        <v>47</v>
      </c>
      <c r="B34" s="12">
        <v>95</v>
      </c>
      <c r="C34" s="12">
        <v>51</v>
      </c>
      <c r="D34" s="12">
        <v>58</v>
      </c>
      <c r="E34" s="12">
        <v>5</v>
      </c>
      <c r="F34" s="12">
        <v>3.1</v>
      </c>
      <c r="G34" s="12">
        <f t="shared" si="1"/>
        <v>600</v>
      </c>
      <c r="H34" s="14">
        <f t="shared" si="0"/>
        <v>600</v>
      </c>
    </row>
    <row r="35" spans="1:8" x14ac:dyDescent="0.25">
      <c r="A35" s="11" t="s">
        <v>48</v>
      </c>
      <c r="B35" s="12">
        <v>86</v>
      </c>
      <c r="C35" s="12">
        <v>80</v>
      </c>
      <c r="D35" s="12">
        <v>74</v>
      </c>
      <c r="E35" s="12">
        <v>4</v>
      </c>
      <c r="F35" s="12">
        <v>4.4000000000000004</v>
      </c>
      <c r="G35" s="12">
        <f t="shared" si="1"/>
        <v>650</v>
      </c>
      <c r="H35" s="14">
        <f t="shared" si="0"/>
        <v>650</v>
      </c>
    </row>
    <row r="36" spans="1:8" x14ac:dyDescent="0.25">
      <c r="A36" s="11" t="s">
        <v>49</v>
      </c>
      <c r="B36" s="12">
        <v>85</v>
      </c>
      <c r="C36" s="12">
        <v>52</v>
      </c>
      <c r="D36" s="12">
        <v>86</v>
      </c>
      <c r="E36" s="12">
        <v>1</v>
      </c>
      <c r="F36" s="12">
        <v>2</v>
      </c>
      <c r="G36" s="12">
        <f t="shared" si="1"/>
        <v>650</v>
      </c>
      <c r="H36" s="14">
        <f t="shared" si="0"/>
        <v>650</v>
      </c>
    </row>
    <row r="37" spans="1:8" x14ac:dyDescent="0.25">
      <c r="A37" s="11" t="s">
        <v>50</v>
      </c>
      <c r="B37" s="12">
        <v>70</v>
      </c>
      <c r="C37" s="12">
        <v>57</v>
      </c>
      <c r="D37" s="12">
        <v>69</v>
      </c>
      <c r="E37" s="12">
        <v>3</v>
      </c>
      <c r="F37" s="12">
        <v>3.8</v>
      </c>
      <c r="G37" s="12">
        <f t="shared" si="1"/>
        <v>575</v>
      </c>
      <c r="H37" s="14">
        <f t="shared" si="0"/>
        <v>575</v>
      </c>
    </row>
    <row r="38" spans="1:8" x14ac:dyDescent="0.25">
      <c r="A38" s="11" t="s">
        <v>51</v>
      </c>
      <c r="B38" s="12">
        <v>68</v>
      </c>
      <c r="C38" s="12">
        <v>66</v>
      </c>
      <c r="D38" s="12">
        <v>92</v>
      </c>
      <c r="E38" s="12">
        <v>2</v>
      </c>
      <c r="F38" s="12">
        <v>6.9</v>
      </c>
      <c r="G38" s="12">
        <f t="shared" si="1"/>
        <v>650</v>
      </c>
      <c r="H38" s="14">
        <f t="shared" si="0"/>
        <v>650</v>
      </c>
    </row>
    <row r="39" spans="1:8" x14ac:dyDescent="0.25">
      <c r="A39" s="11" t="s">
        <v>52</v>
      </c>
      <c r="B39" s="12">
        <v>92</v>
      </c>
      <c r="C39" s="12">
        <v>86</v>
      </c>
      <c r="D39" s="12">
        <v>58</v>
      </c>
      <c r="E39" s="12">
        <v>4</v>
      </c>
      <c r="F39" s="12">
        <v>3.2</v>
      </c>
      <c r="G39" s="12">
        <f t="shared" si="1"/>
        <v>675</v>
      </c>
      <c r="H39" s="14">
        <f t="shared" si="0"/>
        <v>675</v>
      </c>
    </row>
    <row r="40" spans="1:8" x14ac:dyDescent="0.25">
      <c r="A40" s="11" t="s">
        <v>53</v>
      </c>
      <c r="B40" s="12">
        <v>94</v>
      </c>
      <c r="C40" s="12">
        <v>97</v>
      </c>
      <c r="D40" s="12">
        <v>70</v>
      </c>
      <c r="E40" s="12">
        <v>5</v>
      </c>
      <c r="F40" s="12">
        <v>4.5</v>
      </c>
      <c r="G40" s="12">
        <f t="shared" si="1"/>
        <v>675</v>
      </c>
      <c r="H40" s="14">
        <f t="shared" si="0"/>
        <v>675</v>
      </c>
    </row>
    <row r="41" spans="1:8" x14ac:dyDescent="0.25">
      <c r="A41" s="11" t="s">
        <v>54</v>
      </c>
      <c r="B41" s="12">
        <v>84</v>
      </c>
      <c r="C41" s="12">
        <v>58</v>
      </c>
      <c r="D41" s="12">
        <v>100</v>
      </c>
      <c r="E41" s="12">
        <v>5</v>
      </c>
      <c r="F41" s="12">
        <v>6.7</v>
      </c>
      <c r="G41" s="12">
        <f t="shared" si="1"/>
        <v>650</v>
      </c>
      <c r="H41" s="14">
        <f t="shared" si="0"/>
        <v>650</v>
      </c>
    </row>
    <row r="42" spans="1:8" x14ac:dyDescent="0.25">
      <c r="A42" s="11" t="s">
        <v>55</v>
      </c>
      <c r="B42" s="12">
        <v>91</v>
      </c>
      <c r="C42" s="12">
        <v>51</v>
      </c>
      <c r="D42" s="12">
        <v>85</v>
      </c>
      <c r="E42" s="12">
        <v>4</v>
      </c>
      <c r="F42" s="12">
        <v>4.9000000000000004</v>
      </c>
      <c r="G42" s="12">
        <f t="shared" si="1"/>
        <v>650</v>
      </c>
      <c r="H42" s="14">
        <f t="shared" si="0"/>
        <v>650</v>
      </c>
    </row>
    <row r="43" spans="1:8" x14ac:dyDescent="0.25">
      <c r="A43" s="11" t="s">
        <v>56</v>
      </c>
      <c r="B43" s="12">
        <v>83</v>
      </c>
      <c r="C43" s="12">
        <v>78</v>
      </c>
      <c r="D43" s="12">
        <v>93</v>
      </c>
      <c r="E43" s="12">
        <v>6</v>
      </c>
      <c r="F43" s="12">
        <v>8.4</v>
      </c>
      <c r="G43" s="12">
        <f t="shared" si="1"/>
        <v>675</v>
      </c>
      <c r="H43" s="14">
        <f t="shared" si="0"/>
        <v>675</v>
      </c>
    </row>
    <row r="44" spans="1:8" x14ac:dyDescent="0.25">
      <c r="A44" s="11" t="s">
        <v>57</v>
      </c>
      <c r="B44" s="12">
        <v>84</v>
      </c>
      <c r="C44" s="12">
        <v>97</v>
      </c>
      <c r="D44" s="12">
        <v>76</v>
      </c>
      <c r="E44" s="12">
        <v>6</v>
      </c>
      <c r="F44" s="12">
        <v>3.7</v>
      </c>
      <c r="G44" s="12">
        <f t="shared" si="1"/>
        <v>675</v>
      </c>
      <c r="H44" s="14">
        <f t="shared" si="0"/>
        <v>675</v>
      </c>
    </row>
    <row r="45" spans="1:8" x14ac:dyDescent="0.25">
      <c r="A45" s="11" t="s">
        <v>58</v>
      </c>
      <c r="B45" s="12">
        <v>73</v>
      </c>
      <c r="C45" s="12">
        <v>87</v>
      </c>
      <c r="D45" s="12">
        <v>89</v>
      </c>
      <c r="E45" s="12">
        <v>4</v>
      </c>
      <c r="F45" s="12">
        <v>4.5999999999999996</v>
      </c>
      <c r="G45" s="12">
        <f t="shared" si="1"/>
        <v>675</v>
      </c>
      <c r="H45" s="14">
        <f t="shared" si="0"/>
        <v>675</v>
      </c>
    </row>
    <row r="46" spans="1:8" x14ac:dyDescent="0.25">
      <c r="A46" s="11" t="s">
        <v>59</v>
      </c>
      <c r="B46" s="12">
        <v>84</v>
      </c>
      <c r="C46" s="12">
        <v>65</v>
      </c>
      <c r="D46" s="12">
        <v>84</v>
      </c>
      <c r="E46" s="12">
        <v>2</v>
      </c>
      <c r="F46" s="12">
        <v>5.9</v>
      </c>
      <c r="G46" s="12">
        <f t="shared" si="1"/>
        <v>675</v>
      </c>
      <c r="H46" s="14">
        <f t="shared" si="0"/>
        <v>675</v>
      </c>
    </row>
    <row r="47" spans="1:8" x14ac:dyDescent="0.25">
      <c r="A47" s="11" t="s">
        <v>60</v>
      </c>
      <c r="B47" s="12">
        <v>71</v>
      </c>
      <c r="C47" s="12">
        <v>58</v>
      </c>
      <c r="D47" s="12">
        <v>50</v>
      </c>
      <c r="E47" s="12">
        <v>1</v>
      </c>
      <c r="F47" s="12">
        <v>6.8</v>
      </c>
      <c r="G47" s="12">
        <f t="shared" si="1"/>
        <v>600</v>
      </c>
      <c r="H47" s="14">
        <f t="shared" si="0"/>
        <v>600</v>
      </c>
    </row>
    <row r="48" spans="1:8" x14ac:dyDescent="0.25">
      <c r="A48" s="11" t="s">
        <v>61</v>
      </c>
      <c r="B48" s="12">
        <v>59</v>
      </c>
      <c r="C48" s="12">
        <v>51</v>
      </c>
      <c r="D48" s="12">
        <v>92</v>
      </c>
      <c r="E48" s="12">
        <v>4</v>
      </c>
      <c r="F48" s="12">
        <v>6.6</v>
      </c>
      <c r="G48" s="12">
        <f t="shared" si="1"/>
        <v>625</v>
      </c>
      <c r="H48" s="14">
        <f t="shared" si="0"/>
        <v>625</v>
      </c>
    </row>
    <row r="49" spans="1:8" x14ac:dyDescent="0.25">
      <c r="A49" s="11" t="s">
        <v>62</v>
      </c>
      <c r="B49" s="12">
        <v>82</v>
      </c>
      <c r="C49" s="12">
        <v>81</v>
      </c>
      <c r="D49" s="12">
        <v>100</v>
      </c>
      <c r="E49" s="12">
        <v>6</v>
      </c>
      <c r="F49" s="12">
        <v>1.2</v>
      </c>
      <c r="G49" s="12">
        <f t="shared" si="1"/>
        <v>675</v>
      </c>
      <c r="H49" s="14">
        <f t="shared" si="0"/>
        <v>675</v>
      </c>
    </row>
    <row r="50" spans="1:8" x14ac:dyDescent="0.25">
      <c r="A50" s="11" t="s">
        <v>63</v>
      </c>
      <c r="B50" s="12">
        <v>86</v>
      </c>
      <c r="C50" s="12">
        <v>84</v>
      </c>
      <c r="D50" s="12">
        <v>87</v>
      </c>
      <c r="E50" s="12">
        <v>5</v>
      </c>
      <c r="F50" s="12">
        <v>8.1</v>
      </c>
      <c r="G50" s="12">
        <f t="shared" si="1"/>
        <v>675</v>
      </c>
      <c r="H50" s="14">
        <f t="shared" si="0"/>
        <v>675</v>
      </c>
    </row>
    <row r="51" spans="1:8" x14ac:dyDescent="0.25">
      <c r="A51" s="11" t="s">
        <v>64</v>
      </c>
      <c r="B51" s="12">
        <v>86</v>
      </c>
      <c r="C51" s="12">
        <v>83</v>
      </c>
      <c r="D51" s="12">
        <v>65</v>
      </c>
      <c r="E51" s="12">
        <v>3</v>
      </c>
      <c r="F51" s="12">
        <v>9.4</v>
      </c>
      <c r="G51" s="12">
        <f t="shared" si="1"/>
        <v>675</v>
      </c>
      <c r="H51" s="14">
        <f t="shared" si="0"/>
        <v>675</v>
      </c>
    </row>
    <row r="52" spans="1:8" x14ac:dyDescent="0.25">
      <c r="A52" s="11" t="s">
        <v>65</v>
      </c>
      <c r="B52" s="12">
        <v>90</v>
      </c>
      <c r="C52" s="12">
        <v>80</v>
      </c>
      <c r="D52" s="12">
        <v>95</v>
      </c>
      <c r="E52" s="12">
        <v>2</v>
      </c>
      <c r="F52" s="12">
        <v>2</v>
      </c>
      <c r="G52" s="12">
        <f t="shared" si="1"/>
        <v>700</v>
      </c>
      <c r="H52" s="14">
        <f t="shared" si="0"/>
        <v>700</v>
      </c>
    </row>
    <row r="53" spans="1:8" x14ac:dyDescent="0.25">
      <c r="A53" s="11" t="s">
        <v>66</v>
      </c>
      <c r="B53" s="12">
        <v>76</v>
      </c>
      <c r="C53" s="12">
        <v>89</v>
      </c>
      <c r="D53" s="12">
        <v>60</v>
      </c>
      <c r="E53" s="12">
        <v>6</v>
      </c>
      <c r="F53" s="12">
        <v>5.0999999999999996</v>
      </c>
      <c r="G53" s="12">
        <f t="shared" si="1"/>
        <v>600</v>
      </c>
      <c r="H53" s="14">
        <f t="shared" si="0"/>
        <v>600</v>
      </c>
    </row>
    <row r="54" spans="1:8" x14ac:dyDescent="0.25">
      <c r="A54" s="11" t="s">
        <v>67</v>
      </c>
      <c r="B54" s="12">
        <v>88</v>
      </c>
      <c r="C54" s="12">
        <v>100</v>
      </c>
      <c r="D54" s="12">
        <v>65</v>
      </c>
      <c r="E54" s="12">
        <v>1</v>
      </c>
      <c r="F54" s="12">
        <v>4.5</v>
      </c>
      <c r="G54" s="12">
        <f t="shared" si="1"/>
        <v>700</v>
      </c>
      <c r="H54" s="14">
        <f t="shared" si="0"/>
        <v>700</v>
      </c>
    </row>
    <row r="55" spans="1:8" x14ac:dyDescent="0.25">
      <c r="A55" s="11" t="s">
        <v>68</v>
      </c>
      <c r="B55" s="12">
        <v>92</v>
      </c>
      <c r="C55" s="12">
        <v>76</v>
      </c>
      <c r="D55" s="12">
        <v>91</v>
      </c>
      <c r="E55" s="12">
        <v>4</v>
      </c>
      <c r="F55" s="12">
        <v>1.1000000000000001</v>
      </c>
      <c r="G55" s="12">
        <f t="shared" si="1"/>
        <v>700</v>
      </c>
      <c r="H55" s="14">
        <f t="shared" si="0"/>
        <v>700</v>
      </c>
    </row>
    <row r="56" spans="1:8" x14ac:dyDescent="0.25">
      <c r="A56" s="11" t="s">
        <v>69</v>
      </c>
      <c r="B56" s="12">
        <v>82</v>
      </c>
      <c r="C56" s="12">
        <v>65</v>
      </c>
      <c r="D56" s="12">
        <v>55</v>
      </c>
      <c r="E56" s="12">
        <v>6</v>
      </c>
      <c r="F56" s="12">
        <v>7.1</v>
      </c>
      <c r="G56" s="12">
        <f t="shared" si="1"/>
        <v>575</v>
      </c>
      <c r="H56" s="14">
        <f t="shared" si="0"/>
        <v>575</v>
      </c>
    </row>
    <row r="57" spans="1:8" x14ac:dyDescent="0.25">
      <c r="A57" s="11" t="s">
        <v>70</v>
      </c>
      <c r="B57" s="12">
        <v>71</v>
      </c>
      <c r="C57" s="12">
        <v>75</v>
      </c>
      <c r="D57" s="12">
        <v>51</v>
      </c>
      <c r="E57" s="12">
        <v>1</v>
      </c>
      <c r="F57" s="12">
        <v>6.7</v>
      </c>
      <c r="G57" s="12">
        <f t="shared" si="1"/>
        <v>625</v>
      </c>
      <c r="H57" s="14">
        <f t="shared" si="0"/>
        <v>625</v>
      </c>
    </row>
    <row r="58" spans="1:8" x14ac:dyDescent="0.25">
      <c r="A58" s="11" t="s">
        <v>71</v>
      </c>
      <c r="B58" s="12">
        <v>75</v>
      </c>
      <c r="C58" s="12">
        <v>98</v>
      </c>
      <c r="D58" s="12">
        <v>69</v>
      </c>
      <c r="E58" s="12">
        <v>1</v>
      </c>
      <c r="F58" s="12">
        <v>1.5</v>
      </c>
      <c r="G58" s="12">
        <f t="shared" si="1"/>
        <v>650</v>
      </c>
      <c r="H58" s="14">
        <f t="shared" si="0"/>
        <v>650</v>
      </c>
    </row>
    <row r="59" spans="1:8" x14ac:dyDescent="0.25">
      <c r="A59" s="11" t="s">
        <v>72</v>
      </c>
      <c r="B59" s="12">
        <v>69</v>
      </c>
      <c r="C59" s="12">
        <v>71</v>
      </c>
      <c r="D59" s="12">
        <v>98</v>
      </c>
      <c r="E59" s="12">
        <v>2</v>
      </c>
      <c r="F59" s="12">
        <v>9.4</v>
      </c>
      <c r="G59" s="12">
        <f t="shared" si="1"/>
        <v>650</v>
      </c>
      <c r="H59" s="14">
        <f t="shared" si="0"/>
        <v>675</v>
      </c>
    </row>
    <row r="60" spans="1:8" x14ac:dyDescent="0.25">
      <c r="A60" s="11" t="s">
        <v>73</v>
      </c>
      <c r="B60" s="12">
        <v>68</v>
      </c>
      <c r="C60" s="12">
        <v>57</v>
      </c>
      <c r="D60" s="12">
        <v>85</v>
      </c>
      <c r="E60" s="12">
        <v>5</v>
      </c>
      <c r="F60" s="12">
        <v>5.4</v>
      </c>
      <c r="G60" s="12">
        <f t="shared" si="1"/>
        <v>575</v>
      </c>
      <c r="H60" s="14">
        <f t="shared" si="0"/>
        <v>575</v>
      </c>
    </row>
    <row r="61" spans="1:8" x14ac:dyDescent="0.25">
      <c r="A61" s="11" t="s">
        <v>74</v>
      </c>
      <c r="B61" s="12">
        <v>100</v>
      </c>
      <c r="C61" s="12">
        <v>79</v>
      </c>
      <c r="D61" s="12">
        <v>94</v>
      </c>
      <c r="E61" s="12">
        <v>6</v>
      </c>
      <c r="F61" s="12">
        <v>2.5</v>
      </c>
      <c r="G61" s="12">
        <f t="shared" si="1"/>
        <v>700</v>
      </c>
      <c r="H61" s="14">
        <f t="shared" si="0"/>
        <v>700</v>
      </c>
    </row>
    <row r="62" spans="1:8" x14ac:dyDescent="0.25">
      <c r="A62" s="11" t="s">
        <v>75</v>
      </c>
      <c r="B62" s="12">
        <v>96</v>
      </c>
      <c r="C62" s="12">
        <v>91</v>
      </c>
      <c r="D62" s="12">
        <v>98</v>
      </c>
      <c r="E62" s="12">
        <v>5</v>
      </c>
      <c r="F62" s="12">
        <v>4.5</v>
      </c>
      <c r="G62" s="12">
        <f t="shared" si="1"/>
        <v>750</v>
      </c>
      <c r="H62" s="14">
        <f t="shared" si="0"/>
        <v>750</v>
      </c>
    </row>
    <row r="63" spans="1:8" x14ac:dyDescent="0.25">
      <c r="A63" s="11" t="s">
        <v>76</v>
      </c>
      <c r="B63" s="12">
        <v>91</v>
      </c>
      <c r="C63" s="12">
        <v>91</v>
      </c>
      <c r="D63" s="12">
        <v>78</v>
      </c>
      <c r="E63" s="12">
        <v>5</v>
      </c>
      <c r="F63" s="12">
        <v>2</v>
      </c>
      <c r="G63" s="12">
        <f t="shared" si="1"/>
        <v>650</v>
      </c>
      <c r="H63" s="14">
        <f t="shared" si="0"/>
        <v>650</v>
      </c>
    </row>
    <row r="64" spans="1:8" x14ac:dyDescent="0.25">
      <c r="A64" s="11" t="s">
        <v>77</v>
      </c>
      <c r="B64" s="12">
        <v>56</v>
      </c>
      <c r="C64" s="12">
        <v>81</v>
      </c>
      <c r="D64" s="12">
        <v>91</v>
      </c>
      <c r="E64" s="12">
        <v>4</v>
      </c>
      <c r="F64" s="12">
        <v>6.5</v>
      </c>
      <c r="G64" s="12">
        <f t="shared" si="1"/>
        <v>675</v>
      </c>
      <c r="H64" s="14">
        <f t="shared" si="0"/>
        <v>675</v>
      </c>
    </row>
    <row r="65" spans="1:8" x14ac:dyDescent="0.25">
      <c r="A65" s="11" t="s">
        <v>78</v>
      </c>
      <c r="B65" s="12">
        <v>63</v>
      </c>
      <c r="C65" s="12">
        <v>85</v>
      </c>
      <c r="D65" s="12">
        <v>74</v>
      </c>
      <c r="E65" s="12">
        <v>5</v>
      </c>
      <c r="F65" s="12">
        <v>0.5</v>
      </c>
      <c r="G65" s="12">
        <f t="shared" si="1"/>
        <v>550</v>
      </c>
      <c r="H65" s="14">
        <f t="shared" si="0"/>
        <v>550</v>
      </c>
    </row>
    <row r="66" spans="1:8" x14ac:dyDescent="0.25">
      <c r="A66" s="11" t="s">
        <v>79</v>
      </c>
      <c r="B66" s="12">
        <v>60</v>
      </c>
      <c r="C66" s="12">
        <v>61</v>
      </c>
      <c r="D66" s="12">
        <v>98</v>
      </c>
      <c r="E66" s="12">
        <v>2</v>
      </c>
      <c r="F66" s="12">
        <v>3.7</v>
      </c>
      <c r="G66" s="12">
        <f t="shared" si="1"/>
        <v>650</v>
      </c>
      <c r="H66" s="14">
        <f t="shared" si="0"/>
        <v>650</v>
      </c>
    </row>
    <row r="67" spans="1:8" x14ac:dyDescent="0.25">
      <c r="A67" s="11" t="s">
        <v>80</v>
      </c>
      <c r="B67" s="12">
        <v>57</v>
      </c>
      <c r="C67" s="12">
        <v>98</v>
      </c>
      <c r="D67" s="12">
        <v>61</v>
      </c>
      <c r="E67" s="12">
        <v>5</v>
      </c>
      <c r="F67" s="12">
        <v>5.6</v>
      </c>
      <c r="G67" s="12">
        <f t="shared" si="1"/>
        <v>600</v>
      </c>
      <c r="H67" s="14">
        <f t="shared" si="0"/>
        <v>600</v>
      </c>
    </row>
    <row r="68" spans="1:8" x14ac:dyDescent="0.25">
      <c r="A68" s="11" t="s">
        <v>81</v>
      </c>
      <c r="B68" s="12">
        <v>62</v>
      </c>
      <c r="C68" s="12">
        <v>92</v>
      </c>
      <c r="D68" s="12">
        <v>67</v>
      </c>
      <c r="E68" s="12">
        <v>5</v>
      </c>
      <c r="F68" s="12">
        <v>8.1</v>
      </c>
      <c r="G68" s="12">
        <f t="shared" si="1"/>
        <v>600</v>
      </c>
      <c r="H68" s="14">
        <f t="shared" ref="H68:H102" si="2">350
+ _xlfn.IFS(B68&gt;91, 100, B68&gt;=81, 75, B68&gt;=71, 50, TRUE, 25)
+ _xlfn.IFS(C68&gt;90, 150, C68&gt;=81, 125, C68&gt;=71, 100, TRUE, 75)
+ _xlfn.IFS(D68&gt;90, 100, D68&gt;=81, 75, D68&gt;=71, 50, TRUE, 25)
+ _xlfn.IFS(F68&gt;2, 50, F68&gt;=1, 25, TRUE, 0)
+ _xlfn.IFS(E68&gt;4, 0, E68&gt;=3.1, 25, TRUE, 50)</f>
        <v>600</v>
      </c>
    </row>
    <row r="69" spans="1:8" x14ac:dyDescent="0.25">
      <c r="A69" s="11" t="s">
        <v>82</v>
      </c>
      <c r="B69" s="12">
        <v>93</v>
      </c>
      <c r="C69" s="12">
        <v>68</v>
      </c>
      <c r="D69" s="12">
        <v>72</v>
      </c>
      <c r="E69" s="12">
        <v>3</v>
      </c>
      <c r="F69" s="12">
        <v>3.1</v>
      </c>
      <c r="G69" s="12">
        <f t="shared" ref="G69:G102" si="3">350
+ IF(B69&gt;91, 100, IF(B69&gt;=81, 75, IF(B69&gt;=71, 50, 25)))
+ IF(C69&gt;90, 150, IF(C69&gt;=81, 125, IF(C69&gt;71, 100, 75)))
+ IF(D69&gt;90, 100, IF(D69&gt;=81, 75, IF(D69&gt;=71, 50, 25)))
+ IF(E69&gt;4, 0, IF(E69&gt;=3.1, 25, 50))
+ IF(F69&gt;2, 50, IF(F69&gt;=1, 25, 0))</f>
        <v>675</v>
      </c>
      <c r="H69" s="14">
        <f t="shared" si="2"/>
        <v>675</v>
      </c>
    </row>
    <row r="70" spans="1:8" x14ac:dyDescent="0.25">
      <c r="A70" s="11" t="s">
        <v>83</v>
      </c>
      <c r="B70" s="12">
        <v>80</v>
      </c>
      <c r="C70" s="12">
        <v>69</v>
      </c>
      <c r="D70" s="12">
        <v>75</v>
      </c>
      <c r="E70" s="12">
        <v>5</v>
      </c>
      <c r="F70" s="12">
        <v>9.1</v>
      </c>
      <c r="G70" s="12">
        <f t="shared" si="3"/>
        <v>575</v>
      </c>
      <c r="H70" s="14">
        <f t="shared" si="2"/>
        <v>575</v>
      </c>
    </row>
    <row r="71" spans="1:8" x14ac:dyDescent="0.25">
      <c r="A71" s="11" t="s">
        <v>84</v>
      </c>
      <c r="B71" s="12">
        <v>67</v>
      </c>
      <c r="C71" s="12">
        <v>85</v>
      </c>
      <c r="D71" s="12">
        <v>98</v>
      </c>
      <c r="E71" s="12">
        <v>5</v>
      </c>
      <c r="F71" s="12">
        <v>4.7</v>
      </c>
      <c r="G71" s="12">
        <f t="shared" si="3"/>
        <v>650</v>
      </c>
      <c r="H71" s="14">
        <f t="shared" si="2"/>
        <v>650</v>
      </c>
    </row>
    <row r="72" spans="1:8" x14ac:dyDescent="0.25">
      <c r="A72" s="11" t="s">
        <v>85</v>
      </c>
      <c r="B72" s="12">
        <v>54</v>
      </c>
      <c r="C72" s="12">
        <v>73</v>
      </c>
      <c r="D72" s="12">
        <v>51</v>
      </c>
      <c r="E72" s="12">
        <v>1</v>
      </c>
      <c r="F72" s="12">
        <v>0.2</v>
      </c>
      <c r="G72" s="12">
        <f t="shared" si="3"/>
        <v>550</v>
      </c>
      <c r="H72" s="14">
        <f t="shared" si="2"/>
        <v>550</v>
      </c>
    </row>
    <row r="73" spans="1:8" x14ac:dyDescent="0.25">
      <c r="A73" s="11" t="s">
        <v>86</v>
      </c>
      <c r="B73" s="12">
        <v>93</v>
      </c>
      <c r="C73" s="12">
        <v>75</v>
      </c>
      <c r="D73" s="12">
        <v>55</v>
      </c>
      <c r="E73" s="12">
        <v>3</v>
      </c>
      <c r="F73" s="12">
        <v>5.7</v>
      </c>
      <c r="G73" s="12">
        <f t="shared" si="3"/>
        <v>675</v>
      </c>
      <c r="H73" s="14">
        <f t="shared" si="2"/>
        <v>675</v>
      </c>
    </row>
    <row r="74" spans="1:8" x14ac:dyDescent="0.25">
      <c r="A74" s="11" t="s">
        <v>87</v>
      </c>
      <c r="B74" s="12">
        <v>51</v>
      </c>
      <c r="C74" s="12">
        <v>55</v>
      </c>
      <c r="D74" s="12">
        <v>59</v>
      </c>
      <c r="E74" s="12">
        <v>6</v>
      </c>
      <c r="F74" s="12">
        <v>8.5</v>
      </c>
      <c r="G74" s="12">
        <f t="shared" si="3"/>
        <v>525</v>
      </c>
      <c r="H74" s="14">
        <f t="shared" si="2"/>
        <v>525</v>
      </c>
    </row>
    <row r="75" spans="1:8" x14ac:dyDescent="0.25">
      <c r="A75" s="11" t="s">
        <v>88</v>
      </c>
      <c r="B75" s="12">
        <v>68</v>
      </c>
      <c r="C75" s="12">
        <v>83</v>
      </c>
      <c r="D75" s="12">
        <v>61</v>
      </c>
      <c r="E75" s="12">
        <v>4</v>
      </c>
      <c r="F75" s="12">
        <v>3.1</v>
      </c>
      <c r="G75" s="12">
        <f t="shared" si="3"/>
        <v>600</v>
      </c>
      <c r="H75" s="14">
        <f t="shared" si="2"/>
        <v>600</v>
      </c>
    </row>
    <row r="76" spans="1:8" x14ac:dyDescent="0.25">
      <c r="A76" s="11" t="s">
        <v>89</v>
      </c>
      <c r="B76" s="12">
        <v>81</v>
      </c>
      <c r="C76" s="12">
        <v>52</v>
      </c>
      <c r="D76" s="12">
        <v>87</v>
      </c>
      <c r="E76" s="12">
        <v>3</v>
      </c>
      <c r="F76" s="12">
        <v>6.6</v>
      </c>
      <c r="G76" s="12">
        <f t="shared" si="3"/>
        <v>675</v>
      </c>
      <c r="H76" s="14">
        <f t="shared" si="2"/>
        <v>675</v>
      </c>
    </row>
    <row r="77" spans="1:8" x14ac:dyDescent="0.25">
      <c r="A77" s="11" t="s">
        <v>90</v>
      </c>
      <c r="B77" s="12">
        <v>69</v>
      </c>
      <c r="C77" s="12">
        <v>50</v>
      </c>
      <c r="D77" s="12">
        <v>71</v>
      </c>
      <c r="E77" s="12">
        <v>5</v>
      </c>
      <c r="F77" s="12">
        <v>0.8</v>
      </c>
      <c r="G77" s="12">
        <f t="shared" si="3"/>
        <v>500</v>
      </c>
      <c r="H77" s="14">
        <f t="shared" si="2"/>
        <v>500</v>
      </c>
    </row>
    <row r="78" spans="1:8" x14ac:dyDescent="0.25">
      <c r="A78" s="11" t="s">
        <v>91</v>
      </c>
      <c r="B78" s="12">
        <v>91</v>
      </c>
      <c r="C78" s="12">
        <v>90</v>
      </c>
      <c r="D78" s="12">
        <v>56</v>
      </c>
      <c r="E78" s="12">
        <v>1</v>
      </c>
      <c r="F78" s="12">
        <v>3.2</v>
      </c>
      <c r="G78" s="12">
        <f t="shared" si="3"/>
        <v>675</v>
      </c>
      <c r="H78" s="14">
        <f t="shared" si="2"/>
        <v>675</v>
      </c>
    </row>
    <row r="79" spans="1:8" x14ac:dyDescent="0.25">
      <c r="A79" s="11" t="s">
        <v>92</v>
      </c>
      <c r="B79" s="12">
        <v>54</v>
      </c>
      <c r="C79" s="12">
        <v>76</v>
      </c>
      <c r="D79" s="12">
        <v>77</v>
      </c>
      <c r="E79" s="12">
        <v>2</v>
      </c>
      <c r="F79" s="12">
        <v>5.8</v>
      </c>
      <c r="G79" s="12">
        <f t="shared" si="3"/>
        <v>625</v>
      </c>
      <c r="H79" s="14">
        <f t="shared" si="2"/>
        <v>625</v>
      </c>
    </row>
    <row r="80" spans="1:8" x14ac:dyDescent="0.25">
      <c r="A80" s="11" t="s">
        <v>93</v>
      </c>
      <c r="B80" s="12">
        <v>59</v>
      </c>
      <c r="C80" s="12">
        <v>74</v>
      </c>
      <c r="D80" s="12">
        <v>72</v>
      </c>
      <c r="E80" s="12">
        <v>4</v>
      </c>
      <c r="F80" s="12">
        <v>6</v>
      </c>
      <c r="G80" s="12">
        <f t="shared" si="3"/>
        <v>600</v>
      </c>
      <c r="H80" s="14">
        <f t="shared" si="2"/>
        <v>600</v>
      </c>
    </row>
    <row r="81" spans="1:8" x14ac:dyDescent="0.25">
      <c r="A81" s="11" t="s">
        <v>94</v>
      </c>
      <c r="B81" s="12">
        <v>61</v>
      </c>
      <c r="C81" s="12">
        <v>54</v>
      </c>
      <c r="D81" s="12">
        <v>71</v>
      </c>
      <c r="E81" s="12">
        <v>3</v>
      </c>
      <c r="F81" s="12">
        <v>6.3</v>
      </c>
      <c r="G81" s="12">
        <f t="shared" si="3"/>
        <v>600</v>
      </c>
      <c r="H81" s="14">
        <f t="shared" si="2"/>
        <v>600</v>
      </c>
    </row>
    <row r="82" spans="1:8" x14ac:dyDescent="0.25">
      <c r="A82" s="11" t="s">
        <v>95</v>
      </c>
      <c r="B82" s="12">
        <v>59</v>
      </c>
      <c r="C82" s="12">
        <v>95</v>
      </c>
      <c r="D82" s="12">
        <v>69</v>
      </c>
      <c r="E82" s="12">
        <v>1</v>
      </c>
      <c r="F82" s="12">
        <v>4.3</v>
      </c>
      <c r="G82" s="12">
        <f t="shared" si="3"/>
        <v>650</v>
      </c>
      <c r="H82" s="14">
        <f t="shared" si="2"/>
        <v>650</v>
      </c>
    </row>
    <row r="83" spans="1:8" x14ac:dyDescent="0.25">
      <c r="A83" s="11" t="s">
        <v>96</v>
      </c>
      <c r="B83" s="12">
        <v>80</v>
      </c>
      <c r="C83" s="12">
        <v>53</v>
      </c>
      <c r="D83" s="12">
        <v>56</v>
      </c>
      <c r="E83" s="12">
        <v>2</v>
      </c>
      <c r="F83" s="12">
        <v>8.5</v>
      </c>
      <c r="G83" s="12">
        <f t="shared" si="3"/>
        <v>600</v>
      </c>
      <c r="H83" s="14">
        <f t="shared" si="2"/>
        <v>600</v>
      </c>
    </row>
    <row r="84" spans="1:8" x14ac:dyDescent="0.25">
      <c r="A84" s="11" t="s">
        <v>97</v>
      </c>
      <c r="B84" s="12">
        <v>95</v>
      </c>
      <c r="C84" s="12">
        <v>87</v>
      </c>
      <c r="D84" s="12">
        <v>98</v>
      </c>
      <c r="E84" s="12">
        <v>3</v>
      </c>
      <c r="F84" s="12">
        <v>4.2</v>
      </c>
      <c r="G84" s="12">
        <f t="shared" si="3"/>
        <v>775</v>
      </c>
      <c r="H84" s="14">
        <f t="shared" si="2"/>
        <v>775</v>
      </c>
    </row>
    <row r="85" spans="1:8" x14ac:dyDescent="0.25">
      <c r="A85" s="11" t="s">
        <v>98</v>
      </c>
      <c r="B85" s="12">
        <v>69</v>
      </c>
      <c r="C85" s="12">
        <v>71</v>
      </c>
      <c r="D85" s="12">
        <v>54</v>
      </c>
      <c r="E85" s="12">
        <v>4</v>
      </c>
      <c r="F85" s="12">
        <v>1.6</v>
      </c>
      <c r="G85" s="12">
        <f t="shared" si="3"/>
        <v>525</v>
      </c>
      <c r="H85" s="14">
        <f t="shared" si="2"/>
        <v>550</v>
      </c>
    </row>
    <row r="86" spans="1:8" x14ac:dyDescent="0.25">
      <c r="A86" s="11" t="s">
        <v>99</v>
      </c>
      <c r="B86" s="12">
        <v>74</v>
      </c>
      <c r="C86" s="12">
        <v>84</v>
      </c>
      <c r="D86" s="12">
        <v>63</v>
      </c>
      <c r="E86" s="12">
        <v>2</v>
      </c>
      <c r="F86" s="12">
        <v>1.9</v>
      </c>
      <c r="G86" s="12">
        <f t="shared" si="3"/>
        <v>625</v>
      </c>
      <c r="H86" s="14">
        <f t="shared" si="2"/>
        <v>625</v>
      </c>
    </row>
    <row r="87" spans="1:8" x14ac:dyDescent="0.25">
      <c r="A87" s="11" t="s">
        <v>100</v>
      </c>
      <c r="B87" s="12">
        <v>57</v>
      </c>
      <c r="C87" s="12">
        <v>72</v>
      </c>
      <c r="D87" s="12">
        <v>56</v>
      </c>
      <c r="E87" s="12">
        <v>4</v>
      </c>
      <c r="F87" s="12">
        <v>2</v>
      </c>
      <c r="G87" s="12">
        <f t="shared" si="3"/>
        <v>550</v>
      </c>
      <c r="H87" s="14">
        <f t="shared" si="2"/>
        <v>550</v>
      </c>
    </row>
    <row r="88" spans="1:8" x14ac:dyDescent="0.25">
      <c r="A88" s="11" t="s">
        <v>101</v>
      </c>
      <c r="B88" s="12">
        <v>81</v>
      </c>
      <c r="C88" s="12">
        <v>88</v>
      </c>
      <c r="D88" s="12">
        <v>58</v>
      </c>
      <c r="E88" s="12">
        <v>6</v>
      </c>
      <c r="F88" s="12">
        <v>9.8000000000000007</v>
      </c>
      <c r="G88" s="12">
        <f t="shared" si="3"/>
        <v>625</v>
      </c>
      <c r="H88" s="14">
        <f t="shared" si="2"/>
        <v>625</v>
      </c>
    </row>
    <row r="89" spans="1:8" x14ac:dyDescent="0.25">
      <c r="A89" s="11" t="s">
        <v>102</v>
      </c>
      <c r="B89" s="12">
        <v>83</v>
      </c>
      <c r="C89" s="12">
        <v>82</v>
      </c>
      <c r="D89" s="12">
        <v>86</v>
      </c>
      <c r="E89" s="12">
        <v>4</v>
      </c>
      <c r="F89" s="12">
        <v>8.6</v>
      </c>
      <c r="G89" s="12">
        <f t="shared" si="3"/>
        <v>700</v>
      </c>
      <c r="H89" s="14">
        <f t="shared" si="2"/>
        <v>700</v>
      </c>
    </row>
    <row r="90" spans="1:8" x14ac:dyDescent="0.25">
      <c r="A90" s="11" t="s">
        <v>103</v>
      </c>
      <c r="B90" s="12">
        <v>52</v>
      </c>
      <c r="C90" s="12">
        <v>71</v>
      </c>
      <c r="D90" s="12">
        <v>89</v>
      </c>
      <c r="E90" s="12">
        <v>5</v>
      </c>
      <c r="F90" s="12">
        <v>4.9000000000000004</v>
      </c>
      <c r="G90" s="12">
        <f t="shared" si="3"/>
        <v>575</v>
      </c>
      <c r="H90" s="14">
        <f t="shared" si="2"/>
        <v>600</v>
      </c>
    </row>
    <row r="91" spans="1:8" x14ac:dyDescent="0.25">
      <c r="A91" s="11" t="s">
        <v>104</v>
      </c>
      <c r="B91" s="12">
        <v>62</v>
      </c>
      <c r="C91" s="12">
        <v>63</v>
      </c>
      <c r="D91" s="12">
        <v>64</v>
      </c>
      <c r="E91" s="12">
        <v>6</v>
      </c>
      <c r="F91" s="12">
        <v>1.4</v>
      </c>
      <c r="G91" s="12">
        <f t="shared" si="3"/>
        <v>500</v>
      </c>
      <c r="H91" s="14">
        <f t="shared" si="2"/>
        <v>500</v>
      </c>
    </row>
    <row r="92" spans="1:8" x14ac:dyDescent="0.25">
      <c r="A92" s="11" t="s">
        <v>105</v>
      </c>
      <c r="B92" s="12">
        <v>100</v>
      </c>
      <c r="C92" s="12">
        <v>81</v>
      </c>
      <c r="D92" s="12">
        <v>66</v>
      </c>
      <c r="E92" s="12">
        <v>1</v>
      </c>
      <c r="F92" s="12">
        <v>6.3</v>
      </c>
      <c r="G92" s="12">
        <f t="shared" si="3"/>
        <v>700</v>
      </c>
      <c r="H92" s="14">
        <f t="shared" si="2"/>
        <v>700</v>
      </c>
    </row>
    <row r="93" spans="1:8" x14ac:dyDescent="0.25">
      <c r="A93" s="11" t="s">
        <v>106</v>
      </c>
      <c r="B93" s="12">
        <v>93</v>
      </c>
      <c r="C93" s="12">
        <v>100</v>
      </c>
      <c r="D93" s="12">
        <v>94</v>
      </c>
      <c r="E93" s="12">
        <v>6</v>
      </c>
      <c r="F93" s="12">
        <v>5.2</v>
      </c>
      <c r="G93" s="12">
        <f t="shared" si="3"/>
        <v>750</v>
      </c>
      <c r="H93" s="14">
        <f t="shared" si="2"/>
        <v>750</v>
      </c>
    </row>
    <row r="94" spans="1:8" x14ac:dyDescent="0.25">
      <c r="A94" s="11" t="s">
        <v>107</v>
      </c>
      <c r="B94" s="12">
        <v>81</v>
      </c>
      <c r="C94" s="12">
        <v>92</v>
      </c>
      <c r="D94" s="12">
        <v>64</v>
      </c>
      <c r="E94" s="12">
        <v>5</v>
      </c>
      <c r="F94" s="12">
        <v>7.3</v>
      </c>
      <c r="G94" s="12">
        <f t="shared" si="3"/>
        <v>650</v>
      </c>
      <c r="H94" s="14">
        <f t="shared" si="2"/>
        <v>650</v>
      </c>
    </row>
    <row r="95" spans="1:8" x14ac:dyDescent="0.25">
      <c r="A95" s="11" t="s">
        <v>108</v>
      </c>
      <c r="B95" s="12">
        <v>84</v>
      </c>
      <c r="C95" s="12">
        <v>97</v>
      </c>
      <c r="D95" s="12">
        <v>58</v>
      </c>
      <c r="E95" s="12">
        <v>3</v>
      </c>
      <c r="F95" s="12">
        <v>0.9</v>
      </c>
      <c r="G95" s="12">
        <f t="shared" si="3"/>
        <v>650</v>
      </c>
      <c r="H95" s="14">
        <f t="shared" si="2"/>
        <v>650</v>
      </c>
    </row>
    <row r="96" spans="1:8" x14ac:dyDescent="0.25">
      <c r="A96" s="11" t="s">
        <v>109</v>
      </c>
      <c r="B96" s="12">
        <v>90</v>
      </c>
      <c r="C96" s="12">
        <v>86</v>
      </c>
      <c r="D96" s="12">
        <v>52</v>
      </c>
      <c r="E96" s="12">
        <v>2</v>
      </c>
      <c r="F96" s="12">
        <v>6.6</v>
      </c>
      <c r="G96" s="12">
        <f t="shared" si="3"/>
        <v>675</v>
      </c>
      <c r="H96" s="14">
        <f t="shared" si="2"/>
        <v>675</v>
      </c>
    </row>
    <row r="97" spans="1:8" x14ac:dyDescent="0.25">
      <c r="A97" s="11" t="s">
        <v>110</v>
      </c>
      <c r="B97" s="12">
        <v>89</v>
      </c>
      <c r="C97" s="12">
        <v>94</v>
      </c>
      <c r="D97" s="12">
        <v>77</v>
      </c>
      <c r="E97" s="12">
        <v>3</v>
      </c>
      <c r="F97" s="12">
        <v>7.8</v>
      </c>
      <c r="G97" s="12">
        <f t="shared" si="3"/>
        <v>725</v>
      </c>
      <c r="H97" s="14">
        <f t="shared" si="2"/>
        <v>725</v>
      </c>
    </row>
    <row r="98" spans="1:8" x14ac:dyDescent="0.25">
      <c r="A98" s="11" t="s">
        <v>111</v>
      </c>
      <c r="B98" s="12">
        <v>83</v>
      </c>
      <c r="C98" s="12">
        <v>64</v>
      </c>
      <c r="D98" s="12">
        <v>81</v>
      </c>
      <c r="E98" s="12">
        <v>5</v>
      </c>
      <c r="F98" s="12">
        <v>0.9</v>
      </c>
      <c r="G98" s="12">
        <f t="shared" si="3"/>
        <v>575</v>
      </c>
      <c r="H98" s="14">
        <f t="shared" si="2"/>
        <v>575</v>
      </c>
    </row>
    <row r="99" spans="1:8" x14ac:dyDescent="0.25">
      <c r="A99" s="11" t="s">
        <v>112</v>
      </c>
      <c r="B99" s="12">
        <v>73</v>
      </c>
      <c r="C99" s="12">
        <v>89</v>
      </c>
      <c r="D99" s="12">
        <v>62</v>
      </c>
      <c r="E99" s="12">
        <v>2</v>
      </c>
      <c r="F99" s="12">
        <v>6.5</v>
      </c>
      <c r="G99" s="12">
        <f t="shared" si="3"/>
        <v>650</v>
      </c>
      <c r="H99" s="14">
        <f t="shared" si="2"/>
        <v>650</v>
      </c>
    </row>
    <row r="100" spans="1:8" x14ac:dyDescent="0.25">
      <c r="A100" s="11" t="s">
        <v>113</v>
      </c>
      <c r="B100" s="12">
        <v>97</v>
      </c>
      <c r="C100" s="12">
        <v>79</v>
      </c>
      <c r="D100" s="12">
        <v>82</v>
      </c>
      <c r="E100" s="12">
        <v>4</v>
      </c>
      <c r="F100" s="12">
        <v>4.4000000000000004</v>
      </c>
      <c r="G100" s="12">
        <f t="shared" si="3"/>
        <v>700</v>
      </c>
      <c r="H100" s="14">
        <f t="shared" si="2"/>
        <v>700</v>
      </c>
    </row>
    <row r="101" spans="1:8" x14ac:dyDescent="0.25">
      <c r="A101" s="11" t="s">
        <v>114</v>
      </c>
      <c r="B101" s="12">
        <v>58</v>
      </c>
      <c r="C101" s="12">
        <v>80</v>
      </c>
      <c r="D101" s="12">
        <v>81</v>
      </c>
      <c r="E101" s="12">
        <v>3</v>
      </c>
      <c r="F101" s="12">
        <v>1</v>
      </c>
      <c r="G101" s="12">
        <f t="shared" si="3"/>
        <v>625</v>
      </c>
      <c r="H101" s="14">
        <f t="shared" si="2"/>
        <v>625</v>
      </c>
    </row>
    <row r="102" spans="1:8" x14ac:dyDescent="0.25">
      <c r="A102" s="11" t="s">
        <v>115</v>
      </c>
      <c r="B102" s="12">
        <v>77</v>
      </c>
      <c r="C102" s="12">
        <v>54</v>
      </c>
      <c r="D102" s="12">
        <v>82</v>
      </c>
      <c r="E102" s="12">
        <v>1</v>
      </c>
      <c r="F102" s="12">
        <v>5.3</v>
      </c>
      <c r="G102" s="12">
        <f t="shared" si="3"/>
        <v>650</v>
      </c>
      <c r="H102" s="14">
        <f t="shared" si="2"/>
        <v>650</v>
      </c>
    </row>
  </sheetData>
  <mergeCells count="14">
    <mergeCell ref="K1:K2"/>
    <mergeCell ref="L1:L2"/>
    <mergeCell ref="J3:J6"/>
    <mergeCell ref="J7:J10"/>
    <mergeCell ref="J11:J14"/>
    <mergeCell ref="J15:J17"/>
    <mergeCell ref="J18:J20"/>
    <mergeCell ref="A1:A2"/>
    <mergeCell ref="B1:B2"/>
    <mergeCell ref="C1:C2"/>
    <mergeCell ref="D1:D2"/>
    <mergeCell ref="E1:E2"/>
    <mergeCell ref="F1:F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2025-09-11T19:17:41Z</dcterms:created>
  <dcterms:modified xsi:type="dcterms:W3CDTF">2025-09-11T21:42:35Z</dcterms:modified>
</cp:coreProperties>
</file>